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46298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46298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46298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46298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46298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46298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46298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46298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46298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46298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46298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46298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46298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46298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46298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20045-2024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46298</v>
      </c>
      <c r="F24" t="inlineStr">
        <is>
          <t>HALLANDS LÄN</t>
        </is>
      </c>
      <c r="G24" t="inlineStr">
        <is>
          <t>VARBERG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HYPERLINK("https://klasma.github.io/Logging_1383/artfynd/A 20045-2024 artfynd.xlsx", "A 20045-2024")</f>
        <v/>
      </c>
      <c r="X24">
        <f>HYPERLINK("https://klasma.github.io/Logging_1383/kartor/A 20045-2024 karta.png", "A 20045-2024")</f>
        <v/>
      </c>
      <c r="Y24">
        <f>HYPERLINK("https://klasma.github.io/Logging_1383/kartor_geotiff/A 20045-2024 georefererad karta.tif", "A 20045-2024")</f>
        <v/>
      </c>
      <c r="AA24">
        <f>HYPERLINK("https://klasma.github.io/Logging_1383/klagomål/A 20045-2024 FSC-klagomål.docx", "A 20045-2024")</f>
        <v/>
      </c>
      <c r="AB24">
        <f>HYPERLINK("https://klasma.github.io/Logging_1383/klagomålsmail/A 20045-2024 FSC-klagomål mail.docx", "A 20045-2024")</f>
        <v/>
      </c>
      <c r="AC24">
        <f>HYPERLINK("https://klasma.github.io/Logging_1383/tillsyn/A 20045-2024 tillsynsbegäran.docx", "A 20045-2024")</f>
        <v/>
      </c>
      <c r="AD24">
        <f>HYPERLINK("https://klasma.github.io/Logging_1383/tillsynsmail/A 20045-2024 tillsynsbegäran mail.docx", "A 20045-2024")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46298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46298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46298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46298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46298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46298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46298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46298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46298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42723-2023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46298</v>
      </c>
      <c r="F34" t="inlineStr">
        <is>
          <t>HALLANDS LÄN</t>
        </is>
      </c>
      <c r="G34" t="inlineStr">
        <is>
          <t>VARBERG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42723-2023 artfynd.xlsx", "A 42723-2023")</f>
        <v/>
      </c>
      <c r="X34">
        <f>HYPERLINK("https://klasma.github.io/Logging_1383/kartor/A 42723-2023 karta.png", "A 42723-2023")</f>
        <v/>
      </c>
      <c r="Y34">
        <f>HYPERLINK("https://klasma.github.io/Logging_1383/kartor_geotiff/A 42723-2023 georefererad karta.tif", "A 42723-2023")</f>
        <v/>
      </c>
      <c r="AA34">
        <f>HYPERLINK("https://klasma.github.io/Logging_1383/klagomål/A 42723-2023 FSC-klagomål.docx", "A 42723-2023")</f>
        <v/>
      </c>
      <c r="AB34">
        <f>HYPERLINK("https://klasma.github.io/Logging_1383/klagomålsmail/A 42723-2023 FSC-klagomål mail.docx", "A 42723-2023")</f>
        <v/>
      </c>
      <c r="AC34">
        <f>HYPERLINK("https://klasma.github.io/Logging_1383/tillsyn/A 42723-2023 tillsynsbegäran.docx", "A 42723-2023")</f>
        <v/>
      </c>
      <c r="AD34">
        <f>HYPERLINK("https://klasma.github.io/Logging_1383/tillsynsmail/A 42723-2023 tillsynsbegäran mail.docx", "A 42723-2023")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46298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46298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46298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46298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46298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46298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46298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46298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46298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46298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46298</v>
      </c>
      <c r="F45" t="inlineStr">
        <is>
          <t>HALLANDS LÄN</t>
        </is>
      </c>
      <c r="G45" t="inlineStr">
        <is>
          <t>VARBERG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46298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46298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46298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46298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46298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46298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46298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46298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46298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46298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46298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46298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46298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46298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46298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46298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46298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46298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46298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46298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46298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46298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46298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46298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46298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46298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46298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46298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46298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46298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46298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46298</v>
      </c>
      <c r="F78" t="inlineStr">
        <is>
          <t>HALLANDS LÄN</t>
        </is>
      </c>
      <c r="G78" t="inlineStr">
        <is>
          <t>VARBERG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46298</v>
      </c>
      <c r="F79" t="inlineStr">
        <is>
          <t>HALLANDS LÄN</t>
        </is>
      </c>
      <c r="G79" t="inlineStr">
        <is>
          <t>VARBERG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46298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46298</v>
      </c>
      <c r="F81" t="inlineStr">
        <is>
          <t>HALLANDS LÄN</t>
        </is>
      </c>
      <c r="G81" t="inlineStr">
        <is>
          <t>VARBERG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46298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46298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46298</v>
      </c>
      <c r="F84" t="inlineStr">
        <is>
          <t>HALLANDS LÄN</t>
        </is>
      </c>
      <c r="G84" t="inlineStr">
        <is>
          <t>VARBERG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46298</v>
      </c>
      <c r="F85" t="inlineStr">
        <is>
          <t>HALLANDS LÄN</t>
        </is>
      </c>
      <c r="G85" t="inlineStr">
        <is>
          <t>VARBERG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46298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46298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46298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46298</v>
      </c>
      <c r="F89" t="inlineStr">
        <is>
          <t>HALLANDS LÄN</t>
        </is>
      </c>
      <c r="G89" t="inlineStr">
        <is>
          <t>VARBERG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45609</v>
      </c>
      <c r="E90" s="1" t="n">
        <v>46298</v>
      </c>
      <c r="F90" t="inlineStr">
        <is>
          <t>HALLANDS LÄN</t>
        </is>
      </c>
      <c r="G90" t="inlineStr">
        <is>
          <t>VARBERG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46298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46298</v>
      </c>
      <c r="F92" t="inlineStr">
        <is>
          <t>HALLANDS LÄN</t>
        </is>
      </c>
      <c r="G92" t="inlineStr">
        <is>
          <t>VARBERG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46298</v>
      </c>
      <c r="F93" t="inlineStr">
        <is>
          <t>HALLANDS LÄN</t>
        </is>
      </c>
      <c r="G93" t="inlineStr">
        <is>
          <t>VARBERG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46298</v>
      </c>
      <c r="F94" t="inlineStr">
        <is>
          <t>HALLANDS LÄN</t>
        </is>
      </c>
      <c r="G94" t="inlineStr">
        <is>
          <t>VARBERG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46298</v>
      </c>
      <c r="F95" t="inlineStr">
        <is>
          <t>HALLANDS LÄN</t>
        </is>
      </c>
      <c r="G95" t="inlineStr">
        <is>
          <t>VARBERG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46298</v>
      </c>
      <c r="F96" t="inlineStr">
        <is>
          <t>HALLANDS LÄN</t>
        </is>
      </c>
      <c r="G96" t="inlineStr">
        <is>
          <t>VARBERG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45741</v>
      </c>
      <c r="E97" s="1" t="n">
        <v>46298</v>
      </c>
      <c r="F97" t="inlineStr">
        <is>
          <t>HALLANDS LÄN</t>
        </is>
      </c>
      <c r="G97" t="inlineStr">
        <is>
          <t>VARBERG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46298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46298</v>
      </c>
      <c r="F99" t="inlineStr">
        <is>
          <t>HALLANDS LÄN</t>
        </is>
      </c>
      <c r="G99" t="inlineStr">
        <is>
          <t>VARBERG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46298</v>
      </c>
      <c r="F100" t="inlineStr">
        <is>
          <t>HALLANDS LÄN</t>
        </is>
      </c>
      <c r="G100" t="inlineStr">
        <is>
          <t>VARBERG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46298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46298</v>
      </c>
      <c r="F102" t="inlineStr">
        <is>
          <t>HALLANDS LÄN</t>
        </is>
      </c>
      <c r="G102" t="inlineStr">
        <is>
          <t>VARBERG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46298</v>
      </c>
      <c r="F103" t="inlineStr">
        <is>
          <t>HALLANDS LÄN</t>
        </is>
      </c>
      <c r="G103" t="inlineStr">
        <is>
          <t>VARBERG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46298</v>
      </c>
      <c r="F104" t="inlineStr">
        <is>
          <t>HALLANDS LÄN</t>
        </is>
      </c>
      <c r="G104" t="inlineStr">
        <is>
          <t>VARBERG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46298</v>
      </c>
      <c r="F105" t="inlineStr">
        <is>
          <t>HALLANDS LÄN</t>
        </is>
      </c>
      <c r="G105" t="inlineStr">
        <is>
          <t>VARBERG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46298</v>
      </c>
      <c r="F106" t="inlineStr">
        <is>
          <t>HALLANDS LÄN</t>
        </is>
      </c>
      <c r="G106" t="inlineStr">
        <is>
          <t>VARBERG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46298</v>
      </c>
      <c r="F107" t="inlineStr">
        <is>
          <t>HALLANDS LÄN</t>
        </is>
      </c>
      <c r="G107" t="inlineStr">
        <is>
          <t>VARBERG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46298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46298</v>
      </c>
      <c r="F109" t="inlineStr">
        <is>
          <t>HALLANDS LÄN</t>
        </is>
      </c>
      <c r="G109" t="inlineStr">
        <is>
          <t>VARBERG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46298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46298</v>
      </c>
      <c r="F111" t="inlineStr">
        <is>
          <t>HALLANDS LÄN</t>
        </is>
      </c>
      <c r="G111" t="inlineStr">
        <is>
          <t>VARBERG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46298</v>
      </c>
      <c r="F112" t="inlineStr">
        <is>
          <t>HALLANDS LÄN</t>
        </is>
      </c>
      <c r="G112" t="inlineStr">
        <is>
          <t>VARBERG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46024</v>
      </c>
      <c r="E113" s="1" t="n">
        <v>46298</v>
      </c>
      <c r="F113" t="inlineStr">
        <is>
          <t>HALLANDS LÄN</t>
        </is>
      </c>
      <c r="G113" t="inlineStr">
        <is>
          <t>VARBERG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46298</v>
      </c>
      <c r="F114" t="inlineStr">
        <is>
          <t>HALLANDS LÄN</t>
        </is>
      </c>
      <c r="G114" t="inlineStr">
        <is>
          <t>VARBERG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46298</v>
      </c>
      <c r="F115" t="inlineStr">
        <is>
          <t>HALLANDS LÄN</t>
        </is>
      </c>
      <c r="G115" t="inlineStr">
        <is>
          <t>VARBERG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46298</v>
      </c>
      <c r="F116" t="inlineStr">
        <is>
          <t>HALLANDS LÄN</t>
        </is>
      </c>
      <c r="G116" t="inlineStr">
        <is>
          <t>VARBERG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35018-2025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45851</v>
      </c>
      <c r="E117" s="1" t="n">
        <v>46298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46298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46298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46298</v>
      </c>
      <c r="F120" t="inlineStr">
        <is>
          <t>HALLANDS LÄN</t>
        </is>
      </c>
      <c r="G120" t="inlineStr">
        <is>
          <t>VARBERG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46298</v>
      </c>
      <c r="F121" t="inlineStr">
        <is>
          <t>HALLANDS LÄN</t>
        </is>
      </c>
      <c r="G121" t="inlineStr">
        <is>
          <t>VARBERG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46298</v>
      </c>
      <c r="F122" t="inlineStr">
        <is>
          <t>HALLANDS LÄN</t>
        </is>
      </c>
      <c r="G122" t="inlineStr">
        <is>
          <t>VARBERG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46298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44649</v>
      </c>
      <c r="E124" s="1" t="n">
        <v>46298</v>
      </c>
      <c r="F124" t="inlineStr">
        <is>
          <t>HALLANDS LÄN</t>
        </is>
      </c>
      <c r="G124" t="inlineStr">
        <is>
          <t>VARBERG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46298</v>
      </c>
      <c r="F125" t="inlineStr">
        <is>
          <t>HALLANDS LÄN</t>
        </is>
      </c>
      <c r="G125" t="inlineStr">
        <is>
          <t>VARBERG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45910</v>
      </c>
      <c r="E126" s="1" t="n">
        <v>46298</v>
      </c>
      <c r="F126" t="inlineStr">
        <is>
          <t>HALLANDS LÄN</t>
        </is>
      </c>
      <c r="G126" t="inlineStr">
        <is>
          <t>VARBERG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46298</v>
      </c>
      <c r="F127" t="inlineStr">
        <is>
          <t>HALLANDS LÄN</t>
        </is>
      </c>
      <c r="G127" t="inlineStr">
        <is>
          <t>VARBERG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46298</v>
      </c>
      <c r="F128" t="inlineStr">
        <is>
          <t>HALLANDS LÄN</t>
        </is>
      </c>
      <c r="G128" t="inlineStr">
        <is>
          <t>VARBERG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46298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46298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46298</v>
      </c>
      <c r="F131" t="inlineStr">
        <is>
          <t>HALLANDS LÄN</t>
        </is>
      </c>
      <c r="G131" t="inlineStr">
        <is>
          <t>VARBERG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46298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45487</v>
      </c>
      <c r="E133" s="1" t="n">
        <v>46298</v>
      </c>
      <c r="F133" t="inlineStr">
        <is>
          <t>HALLANDS LÄN</t>
        </is>
      </c>
      <c r="G133" t="inlineStr">
        <is>
          <t>VARBERG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46047</v>
      </c>
      <c r="E134" s="1" t="n">
        <v>46298</v>
      </c>
      <c r="F134" t="inlineStr">
        <is>
          <t>HALLANDS LÄN</t>
        </is>
      </c>
      <c r="G134" t="inlineStr">
        <is>
          <t>VARBERG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46298</v>
      </c>
      <c r="F135" t="inlineStr">
        <is>
          <t>HALLANDS LÄN</t>
        </is>
      </c>
      <c r="G135" t="inlineStr">
        <is>
          <t>VARBERG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46047</v>
      </c>
      <c r="E136" s="1" t="n">
        <v>46298</v>
      </c>
      <c r="F136" t="inlineStr">
        <is>
          <t>HALLANDS LÄN</t>
        </is>
      </c>
      <c r="G136" t="inlineStr">
        <is>
          <t>VARBERG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46298</v>
      </c>
      <c r="F137" t="inlineStr">
        <is>
          <t>HALLANDS LÄN</t>
        </is>
      </c>
      <c r="G137" t="inlineStr">
        <is>
          <t>VARBERG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46298</v>
      </c>
      <c r="F138" t="inlineStr">
        <is>
          <t>HALLANDS LÄN</t>
        </is>
      </c>
      <c r="G138" t="inlineStr">
        <is>
          <t>VARBERG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26117-2025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46298</v>
      </c>
      <c r="F139" t="inlineStr">
        <is>
          <t>HALLANDS LÄN</t>
        </is>
      </c>
      <c r="G139" t="inlineStr">
        <is>
          <t>VARBERG</t>
        </is>
      </c>
      <c r="H139" t="inlineStr">
        <is>
          <t>Kommuner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46298</v>
      </c>
      <c r="F140" t="inlineStr">
        <is>
          <t>HALLANDS LÄN</t>
        </is>
      </c>
      <c r="G140" t="inlineStr">
        <is>
          <t>VARBERG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46298</v>
      </c>
      <c r="F141" t="inlineStr">
        <is>
          <t>HALLANDS LÄN</t>
        </is>
      </c>
      <c r="G141" t="inlineStr">
        <is>
          <t>VARBERG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46298</v>
      </c>
      <c r="F142" t="inlineStr">
        <is>
          <t>HALLANDS LÄN</t>
        </is>
      </c>
      <c r="G142" t="inlineStr">
        <is>
          <t>VARBERG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46298</v>
      </c>
      <c r="F143" t="inlineStr">
        <is>
          <t>HALLANDS LÄN</t>
        </is>
      </c>
      <c r="G143" t="inlineStr">
        <is>
          <t>VARBERG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46298</v>
      </c>
      <c r="F144" t="inlineStr">
        <is>
          <t>HALLANDS LÄN</t>
        </is>
      </c>
      <c r="G144" t="inlineStr">
        <is>
          <t>VARBERG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46298</v>
      </c>
      <c r="F145" t="inlineStr">
        <is>
          <t>HALLANDS LÄN</t>
        </is>
      </c>
      <c r="G145" t="inlineStr">
        <is>
          <t>VARBERG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46298</v>
      </c>
      <c r="F146" t="inlineStr">
        <is>
          <t>HALLANDS LÄN</t>
        </is>
      </c>
      <c r="G146" t="inlineStr">
        <is>
          <t>VARBERG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46298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46298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44981</v>
      </c>
      <c r="E149" s="1" t="n">
        <v>46298</v>
      </c>
      <c r="F149" t="inlineStr">
        <is>
          <t>HALLANDS LÄN</t>
        </is>
      </c>
      <c r="G149" t="inlineStr">
        <is>
          <t>VARBERG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46298</v>
      </c>
      <c r="F150" t="inlineStr">
        <is>
          <t>HALLANDS LÄN</t>
        </is>
      </c>
      <c r="G150" t="inlineStr">
        <is>
          <t>VARBERG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45182</v>
      </c>
      <c r="E151" s="1" t="n">
        <v>46298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46298</v>
      </c>
      <c r="F152" t="inlineStr">
        <is>
          <t>HALLANDS LÄN</t>
        </is>
      </c>
      <c r="G152" t="inlineStr">
        <is>
          <t>VARBERG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46298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46298</v>
      </c>
      <c r="F154" t="inlineStr">
        <is>
          <t>HALLANDS LÄN</t>
        </is>
      </c>
      <c r="G154" t="inlineStr">
        <is>
          <t>VARBERG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46298</v>
      </c>
      <c r="F155" t="inlineStr">
        <is>
          <t>HALLANDS LÄN</t>
        </is>
      </c>
      <c r="G155" t="inlineStr">
        <is>
          <t>VARBERG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46298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46298</v>
      </c>
      <c r="F157" t="inlineStr">
        <is>
          <t>HALLANDS LÄN</t>
        </is>
      </c>
      <c r="G157" t="inlineStr">
        <is>
          <t>VARBERG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45323</v>
      </c>
      <c r="E158" s="1" t="n">
        <v>46298</v>
      </c>
      <c r="F158" t="inlineStr">
        <is>
          <t>HALLANDS LÄN</t>
        </is>
      </c>
      <c r="G158" t="inlineStr">
        <is>
          <t>VARBERG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46298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46298</v>
      </c>
      <c r="F160" t="inlineStr">
        <is>
          <t>HALLANDS LÄN</t>
        </is>
      </c>
      <c r="G160" t="inlineStr">
        <is>
          <t>VARBERG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46298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46298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46298</v>
      </c>
      <c r="F163" t="inlineStr">
        <is>
          <t>HALLANDS LÄN</t>
        </is>
      </c>
      <c r="G163" t="inlineStr">
        <is>
          <t>VARBERG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28092-2024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45476</v>
      </c>
      <c r="E164" s="1" t="n">
        <v>46298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46298</v>
      </c>
      <c r="F165" t="inlineStr">
        <is>
          <t>HALLANDS LÄN</t>
        </is>
      </c>
      <c r="G165" t="inlineStr">
        <is>
          <t>VARBERG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71841-2021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46298</v>
      </c>
      <c r="F166" t="inlineStr">
        <is>
          <t>HALLANDS LÄN</t>
        </is>
      </c>
      <c r="G166" t="inlineStr">
        <is>
          <t>VARBERG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45401</v>
      </c>
      <c r="E167" s="1" t="n">
        <v>46298</v>
      </c>
      <c r="F167" t="inlineStr">
        <is>
          <t>HALLANDS LÄN</t>
        </is>
      </c>
      <c r="G167" t="inlineStr">
        <is>
          <t>VARBERG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46298</v>
      </c>
      <c r="F168" t="inlineStr">
        <is>
          <t>HALLANDS LÄN</t>
        </is>
      </c>
      <c r="G168" t="inlineStr">
        <is>
          <t>VARBERG</t>
        </is>
      </c>
      <c r="H168" t="inlineStr">
        <is>
          <t>Kyrkan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46298</v>
      </c>
      <c r="F169" t="inlineStr">
        <is>
          <t>HALLANDS LÄN</t>
        </is>
      </c>
      <c r="G169" t="inlineStr">
        <is>
          <t>VARBERG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46298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46298</v>
      </c>
      <c r="F171" t="inlineStr">
        <is>
          <t>HALLANDS LÄN</t>
        </is>
      </c>
      <c r="G171" t="inlineStr">
        <is>
          <t>VARBERG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46298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46298</v>
      </c>
      <c r="F173" t="inlineStr">
        <is>
          <t>HALLANDS LÄN</t>
        </is>
      </c>
      <c r="G173" t="inlineStr">
        <is>
          <t>VARBERG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46298</v>
      </c>
      <c r="F174" t="inlineStr">
        <is>
          <t>HALLANDS LÄN</t>
        </is>
      </c>
      <c r="G174" t="inlineStr">
        <is>
          <t>VARBERG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46298</v>
      </c>
      <c r="F175" t="inlineStr">
        <is>
          <t>HALLANDS LÄN</t>
        </is>
      </c>
      <c r="G175" t="inlineStr">
        <is>
          <t>VARBERG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46298</v>
      </c>
      <c r="F176" t="inlineStr">
        <is>
          <t>HALLANDS LÄN</t>
        </is>
      </c>
      <c r="G176" t="inlineStr">
        <is>
          <t>VARBERG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46298</v>
      </c>
      <c r="F177" t="inlineStr">
        <is>
          <t>HALLANDS LÄN</t>
        </is>
      </c>
      <c r="G177" t="inlineStr">
        <is>
          <t>VARBERG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46298</v>
      </c>
      <c r="F178" t="inlineStr">
        <is>
          <t>HALLANDS LÄN</t>
        </is>
      </c>
      <c r="G178" t="inlineStr">
        <is>
          <t>VARBERG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45007</v>
      </c>
      <c r="E179" s="1" t="n">
        <v>46298</v>
      </c>
      <c r="F179" t="inlineStr">
        <is>
          <t>HALLANDS LÄN</t>
        </is>
      </c>
      <c r="G179" t="inlineStr">
        <is>
          <t>VARBERG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46298</v>
      </c>
      <c r="F180" t="inlineStr">
        <is>
          <t>HALLANDS LÄN</t>
        </is>
      </c>
      <c r="G180" t="inlineStr">
        <is>
          <t>VARBERG</t>
        </is>
      </c>
      <c r="H180" t="inlineStr">
        <is>
          <t>Övriga statliga verk och myndigheter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44974</v>
      </c>
      <c r="E181" s="1" t="n">
        <v>46298</v>
      </c>
      <c r="F181" t="inlineStr">
        <is>
          <t>HALLANDS LÄN</t>
        </is>
      </c>
      <c r="G181" t="inlineStr">
        <is>
          <t>VARBERG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45736</v>
      </c>
      <c r="E182" s="1" t="n">
        <v>46298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46298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46298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44980</v>
      </c>
      <c r="E185" s="1" t="n">
        <v>46298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46298</v>
      </c>
      <c r="F186" t="inlineStr">
        <is>
          <t>HALLANDS LÄN</t>
        </is>
      </c>
      <c r="G186" t="inlineStr">
        <is>
          <t>VARBERG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46298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46298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46298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46298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46298</v>
      </c>
      <c r="F191" t="inlineStr">
        <is>
          <t>HALLANDS LÄN</t>
        </is>
      </c>
      <c r="G191" t="inlineStr">
        <is>
          <t>VARBERG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46298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46298</v>
      </c>
      <c r="F193" t="inlineStr">
        <is>
          <t>HALLANDS LÄN</t>
        </is>
      </c>
      <c r="G193" t="inlineStr">
        <is>
          <t>VARBERG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46298</v>
      </c>
      <c r="F194" t="inlineStr">
        <is>
          <t>HALLANDS LÄN</t>
        </is>
      </c>
      <c r="G194" t="inlineStr">
        <is>
          <t>VARBERG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46298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46298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46298</v>
      </c>
      <c r="F197" t="inlineStr">
        <is>
          <t>HALLANDS LÄN</t>
        </is>
      </c>
      <c r="G197" t="inlineStr">
        <is>
          <t>VARBERG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46298</v>
      </c>
      <c r="F198" t="inlineStr">
        <is>
          <t>HALLANDS LÄN</t>
        </is>
      </c>
      <c r="G198" t="inlineStr">
        <is>
          <t>VARBERG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45315</v>
      </c>
      <c r="E199" s="1" t="n">
        <v>46298</v>
      </c>
      <c r="F199" t="inlineStr">
        <is>
          <t>HALLANDS LÄN</t>
        </is>
      </c>
      <c r="G199" t="inlineStr">
        <is>
          <t>VARBERG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46298</v>
      </c>
      <c r="F200" t="inlineStr">
        <is>
          <t>HALLANDS LÄN</t>
        </is>
      </c>
      <c r="G200" t="inlineStr">
        <is>
          <t>VARBERG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46298</v>
      </c>
      <c r="F201" t="inlineStr">
        <is>
          <t>HALLANDS LÄN</t>
        </is>
      </c>
      <c r="G201" t="inlineStr">
        <is>
          <t>VARBERG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46298</v>
      </c>
      <c r="F202" t="inlineStr">
        <is>
          <t>HALLANDS LÄN</t>
        </is>
      </c>
      <c r="G202" t="inlineStr">
        <is>
          <t>VARBERG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46298</v>
      </c>
      <c r="F203" t="inlineStr">
        <is>
          <t>HALLANDS LÄN</t>
        </is>
      </c>
      <c r="G203" t="inlineStr">
        <is>
          <t>VARBERG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46298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59108-2025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46298</v>
      </c>
      <c r="F205" t="inlineStr">
        <is>
          <t>HALLANDS LÄN</t>
        </is>
      </c>
      <c r="G205" t="inlineStr">
        <is>
          <t>VARBERG</t>
        </is>
      </c>
      <c r="H205" t="inlineStr">
        <is>
          <t>Övriga statliga verk och myndigheter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46298</v>
      </c>
      <c r="F206" t="inlineStr">
        <is>
          <t>HALLANDS LÄN</t>
        </is>
      </c>
      <c r="G206" t="inlineStr">
        <is>
          <t>VARBERG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46120</v>
      </c>
      <c r="E207" s="1" t="n">
        <v>46298</v>
      </c>
      <c r="F207" t="inlineStr">
        <is>
          <t>HALLANDS LÄN</t>
        </is>
      </c>
      <c r="G207" t="inlineStr">
        <is>
          <t>VARBERG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46298</v>
      </c>
      <c r="F208" t="inlineStr">
        <is>
          <t>HALLANDS LÄN</t>
        </is>
      </c>
      <c r="G208" t="inlineStr">
        <is>
          <t>VARBERG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46298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46298</v>
      </c>
      <c r="F210" t="inlineStr">
        <is>
          <t>HALLANDS LÄN</t>
        </is>
      </c>
      <c r="G210" t="inlineStr">
        <is>
          <t>VARBERG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46298</v>
      </c>
      <c r="F211" t="inlineStr">
        <is>
          <t>HALLANDS LÄN</t>
        </is>
      </c>
      <c r="G211" t="inlineStr">
        <is>
          <t>VARBERG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46298</v>
      </c>
      <c r="F212" t="inlineStr">
        <is>
          <t>HALLANDS LÄN</t>
        </is>
      </c>
      <c r="G212" t="inlineStr">
        <is>
          <t>VARBERG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46298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46298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46298</v>
      </c>
      <c r="F215" t="inlineStr">
        <is>
          <t>HALLANDS LÄN</t>
        </is>
      </c>
      <c r="G215" t="inlineStr">
        <is>
          <t>VARBERG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46298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19130-2026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46132</v>
      </c>
      <c r="E217" s="1" t="n">
        <v>46298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45487</v>
      </c>
      <c r="E218" s="1" t="n">
        <v>46298</v>
      </c>
      <c r="F218" t="inlineStr">
        <is>
          <t>HALLANDS LÄN</t>
        </is>
      </c>
      <c r="G218" t="inlineStr">
        <is>
          <t>VARBERG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46298</v>
      </c>
      <c r="F219" t="inlineStr">
        <is>
          <t>HALLANDS LÄN</t>
        </is>
      </c>
      <c r="G219" t="inlineStr">
        <is>
          <t>VARBERG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46298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46298</v>
      </c>
      <c r="F221" t="inlineStr">
        <is>
          <t>HALLANDS LÄN</t>
        </is>
      </c>
      <c r="G221" t="inlineStr">
        <is>
          <t>VARBERG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46298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46298</v>
      </c>
      <c r="F223" t="inlineStr">
        <is>
          <t>HALLANDS LÄN</t>
        </is>
      </c>
      <c r="G223" t="inlineStr">
        <is>
          <t>VARBERG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46298</v>
      </c>
      <c r="F224" t="inlineStr">
        <is>
          <t>HALLANDS LÄN</t>
        </is>
      </c>
      <c r="G224" t="inlineStr">
        <is>
          <t>VARBERG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45364</v>
      </c>
      <c r="E225" s="1" t="n">
        <v>46298</v>
      </c>
      <c r="F225" t="inlineStr">
        <is>
          <t>HALLANDS LÄN</t>
        </is>
      </c>
      <c r="G225" t="inlineStr">
        <is>
          <t>VARBERG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46298</v>
      </c>
      <c r="F226" t="inlineStr">
        <is>
          <t>HALLANDS LÄN</t>
        </is>
      </c>
      <c r="G226" t="inlineStr">
        <is>
          <t>VARBERG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46298</v>
      </c>
      <c r="F227" t="inlineStr">
        <is>
          <t>HALLANDS LÄN</t>
        </is>
      </c>
      <c r="G227" t="inlineStr">
        <is>
          <t>VARBERG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46298</v>
      </c>
      <c r="F228" t="inlineStr">
        <is>
          <t>HALLANDS LÄN</t>
        </is>
      </c>
      <c r="G228" t="inlineStr">
        <is>
          <t>VARBERG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44622</v>
      </c>
      <c r="E229" s="1" t="n">
        <v>46298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46298</v>
      </c>
      <c r="F230" t="inlineStr">
        <is>
          <t>HALLANDS LÄN</t>
        </is>
      </c>
      <c r="G230" t="inlineStr">
        <is>
          <t>VARBERG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46298</v>
      </c>
      <c r="F231" t="inlineStr">
        <is>
          <t>HALLANDS LÄN</t>
        </is>
      </c>
      <c r="G231" t="inlineStr">
        <is>
          <t>VARBERG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46298</v>
      </c>
      <c r="F232" t="inlineStr">
        <is>
          <t>HALLANDS LÄN</t>
        </is>
      </c>
      <c r="G232" t="inlineStr">
        <is>
          <t>VARBERG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46298</v>
      </c>
      <c r="F233" t="inlineStr">
        <is>
          <t>HALLANDS LÄN</t>
        </is>
      </c>
      <c r="G233" t="inlineStr">
        <is>
          <t>VARBERG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46298</v>
      </c>
      <c r="F234" t="inlineStr">
        <is>
          <t>HALLANDS LÄN</t>
        </is>
      </c>
      <c r="G234" t="inlineStr">
        <is>
          <t>VARBERG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44827</v>
      </c>
      <c r="E235" s="1" t="n">
        <v>46298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46298</v>
      </c>
      <c r="F236" t="inlineStr">
        <is>
          <t>HALLANDS LÄN</t>
        </is>
      </c>
      <c r="G236" t="inlineStr">
        <is>
          <t>VARBERG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45392</v>
      </c>
      <c r="E237" s="1" t="n">
        <v>46298</v>
      </c>
      <c r="F237" t="inlineStr">
        <is>
          <t>HALLANDS LÄN</t>
        </is>
      </c>
      <c r="G237" t="inlineStr">
        <is>
          <t>VARBERG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45477</v>
      </c>
      <c r="E238" s="1" t="n">
        <v>46298</v>
      </c>
      <c r="F238" t="inlineStr">
        <is>
          <t>HALLANDS LÄN</t>
        </is>
      </c>
      <c r="G238" t="inlineStr">
        <is>
          <t>VARBERG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46298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46298</v>
      </c>
      <c r="F240" t="inlineStr">
        <is>
          <t>HALLANDS LÄN</t>
        </is>
      </c>
      <c r="G240" t="inlineStr">
        <is>
          <t>VARBERG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46298</v>
      </c>
      <c r="F241" t="inlineStr">
        <is>
          <t>HALLANDS LÄN</t>
        </is>
      </c>
      <c r="G241" t="inlineStr">
        <is>
          <t>VARBERG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46298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46298</v>
      </c>
      <c r="F243" t="inlineStr">
        <is>
          <t>HALLANDS LÄN</t>
        </is>
      </c>
      <c r="G243" t="inlineStr">
        <is>
          <t>VARBERG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46298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46298</v>
      </c>
      <c r="F245" t="inlineStr">
        <is>
          <t>HALLANDS LÄN</t>
        </is>
      </c>
      <c r="G245" t="inlineStr">
        <is>
          <t>VARBERG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46298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46298</v>
      </c>
      <c r="F247" t="inlineStr">
        <is>
          <t>HALLANDS LÄN</t>
        </is>
      </c>
      <c r="G247" t="inlineStr">
        <is>
          <t>VARBERG</t>
        </is>
      </c>
      <c r="H247" t="inlineStr">
        <is>
          <t>Kyrkan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46298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46298</v>
      </c>
      <c r="F249" t="inlineStr">
        <is>
          <t>HALLANDS LÄN</t>
        </is>
      </c>
      <c r="G249" t="inlineStr">
        <is>
          <t>VARBERG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46298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46298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45055</v>
      </c>
      <c r="E252" s="1" t="n">
        <v>46298</v>
      </c>
      <c r="F252" t="inlineStr">
        <is>
          <t>HALLANDS LÄN</t>
        </is>
      </c>
      <c r="G252" t="inlineStr">
        <is>
          <t>VARBERG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46298</v>
      </c>
      <c r="F253" t="inlineStr">
        <is>
          <t>HALLANDS LÄN</t>
        </is>
      </c>
      <c r="G253" t="inlineStr">
        <is>
          <t>VARBERG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46298</v>
      </c>
      <c r="F254" t="inlineStr">
        <is>
          <t>HALLANDS LÄN</t>
        </is>
      </c>
      <c r="G254" t="inlineStr">
        <is>
          <t>VARBERG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46298</v>
      </c>
      <c r="F255" t="inlineStr">
        <is>
          <t>HALLANDS LÄN</t>
        </is>
      </c>
      <c r="G255" t="inlineStr">
        <is>
          <t>VARBERG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46298</v>
      </c>
      <c r="F256" t="inlineStr">
        <is>
          <t>HALLANDS LÄN</t>
        </is>
      </c>
      <c r="G256" t="inlineStr">
        <is>
          <t>VARBERG</t>
        </is>
      </c>
      <c r="H256" t="inlineStr">
        <is>
          <t>Kyrkan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45328</v>
      </c>
      <c r="E257" s="1" t="n">
        <v>46298</v>
      </c>
      <c r="F257" t="inlineStr">
        <is>
          <t>HALLANDS LÄN</t>
        </is>
      </c>
      <c r="G257" t="inlineStr">
        <is>
          <t>VARBERG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46298</v>
      </c>
      <c r="F258" t="inlineStr">
        <is>
          <t>HALLANDS LÄN</t>
        </is>
      </c>
      <c r="G258" t="inlineStr">
        <is>
          <t>VARBERG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46298</v>
      </c>
      <c r="F259" t="inlineStr">
        <is>
          <t>HALLANDS LÄN</t>
        </is>
      </c>
      <c r="G259" t="inlineStr">
        <is>
          <t>VARBERG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46298</v>
      </c>
      <c r="F260" t="inlineStr">
        <is>
          <t>HALLANDS LÄN</t>
        </is>
      </c>
      <c r="G260" t="inlineStr">
        <is>
          <t>VARBERG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44615</v>
      </c>
      <c r="E261" s="1" t="n">
        <v>46298</v>
      </c>
      <c r="F261" t="inlineStr">
        <is>
          <t>HALLANDS LÄN</t>
        </is>
      </c>
      <c r="G261" t="inlineStr">
        <is>
          <t>VARBERG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46298</v>
      </c>
      <c r="F262" t="inlineStr">
        <is>
          <t>HALLANDS LÄN</t>
        </is>
      </c>
      <c r="G262" t="inlineStr">
        <is>
          <t>VARBERG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46298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46298</v>
      </c>
      <c r="F264" t="inlineStr">
        <is>
          <t>HALLANDS LÄN</t>
        </is>
      </c>
      <c r="G264" t="inlineStr">
        <is>
          <t>VARBERG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46298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45200</v>
      </c>
      <c r="E266" s="1" t="n">
        <v>46298</v>
      </c>
      <c r="F266" t="inlineStr">
        <is>
          <t>HALLANDS LÄN</t>
        </is>
      </c>
      <c r="G266" t="inlineStr">
        <is>
          <t>VARBERG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44829</v>
      </c>
      <c r="E267" s="1" t="n">
        <v>46298</v>
      </c>
      <c r="F267" t="inlineStr">
        <is>
          <t>HALLANDS LÄN</t>
        </is>
      </c>
      <c r="G267" t="inlineStr">
        <is>
          <t>VARBERG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56853-2021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44481</v>
      </c>
      <c r="E268" s="1" t="n">
        <v>46298</v>
      </c>
      <c r="F268" t="inlineStr">
        <is>
          <t>HALLANDS LÄN</t>
        </is>
      </c>
      <c r="G268" t="inlineStr">
        <is>
          <t>VARBERG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44818</v>
      </c>
      <c r="E269" s="1" t="n">
        <v>46298</v>
      </c>
      <c r="F269" t="inlineStr">
        <is>
          <t>HALLANDS LÄN</t>
        </is>
      </c>
      <c r="G269" t="inlineStr">
        <is>
          <t>VARBERG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46298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46298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64488-2021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46298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44767</v>
      </c>
      <c r="E273" s="1" t="n">
        <v>46298</v>
      </c>
      <c r="F273" t="inlineStr">
        <is>
          <t>HALLANDS LÄN</t>
        </is>
      </c>
      <c r="G273" t="inlineStr">
        <is>
          <t>VARBERG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46298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46298</v>
      </c>
      <c r="F275" t="inlineStr">
        <is>
          <t>HALLANDS LÄN</t>
        </is>
      </c>
      <c r="G275" t="inlineStr">
        <is>
          <t>VARBERG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46298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45224</v>
      </c>
      <c r="E277" s="1" t="n">
        <v>46298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46298</v>
      </c>
      <c r="F278" t="inlineStr">
        <is>
          <t>HALLANDS LÄN</t>
        </is>
      </c>
      <c r="G278" t="inlineStr">
        <is>
          <t>VARBERG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45300</v>
      </c>
      <c r="E279" s="1" t="n">
        <v>46298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45513</v>
      </c>
      <c r="E280" s="1" t="n">
        <v>46298</v>
      </c>
      <c r="F280" t="inlineStr">
        <is>
          <t>HALLANDS LÄN</t>
        </is>
      </c>
      <c r="G280" t="inlineStr">
        <is>
          <t>VARBERG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46298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46298</v>
      </c>
      <c r="F282" t="inlineStr">
        <is>
          <t>HALLANDS LÄN</t>
        </is>
      </c>
      <c r="G282" t="inlineStr">
        <is>
          <t>VARBERG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44982</v>
      </c>
      <c r="E283" s="1" t="n">
        <v>46298</v>
      </c>
      <c r="F283" t="inlineStr">
        <is>
          <t>HALLANDS LÄN</t>
        </is>
      </c>
      <c r="G283" t="inlineStr">
        <is>
          <t>VARBERG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61075-2023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45261</v>
      </c>
      <c r="E284" s="1" t="n">
        <v>46298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46298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9819-2022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44620</v>
      </c>
      <c r="E286" s="1" t="n">
        <v>46298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46298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46298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46298</v>
      </c>
      <c r="F289" t="inlineStr">
        <is>
          <t>HALLANDS LÄN</t>
        </is>
      </c>
      <c r="G289" t="inlineStr">
        <is>
          <t>VARBERG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46298</v>
      </c>
      <c r="F290" t="inlineStr">
        <is>
          <t>HALLANDS LÄN</t>
        </is>
      </c>
      <c r="G290" t="inlineStr">
        <is>
          <t>VARBERG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45313</v>
      </c>
      <c r="E291" s="1" t="n">
        <v>46298</v>
      </c>
      <c r="F291" t="inlineStr">
        <is>
          <t>HALLANDS LÄN</t>
        </is>
      </c>
      <c r="G291" t="inlineStr">
        <is>
          <t>VARBERG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45713</v>
      </c>
      <c r="E292" s="1" t="n">
        <v>46298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49760-2024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45597</v>
      </c>
      <c r="E293" s="1" t="n">
        <v>46298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46298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46298</v>
      </c>
      <c r="F295" t="inlineStr">
        <is>
          <t>HALLANDS LÄN</t>
        </is>
      </c>
      <c r="G295" t="inlineStr">
        <is>
          <t>VARBERG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46298</v>
      </c>
      <c r="F296" t="inlineStr">
        <is>
          <t>HALLANDS LÄN</t>
        </is>
      </c>
      <c r="G296" t="inlineStr">
        <is>
          <t>VARBERG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46298</v>
      </c>
      <c r="F297" t="inlineStr">
        <is>
          <t>HALLANDS LÄN</t>
        </is>
      </c>
      <c r="G297" t="inlineStr">
        <is>
          <t>VARBERG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46298</v>
      </c>
      <c r="F298" t="inlineStr">
        <is>
          <t>HALLANDS LÄN</t>
        </is>
      </c>
      <c r="G298" t="inlineStr">
        <is>
          <t>VARBERG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46298</v>
      </c>
      <c r="F299" t="inlineStr">
        <is>
          <t>HALLANDS LÄN</t>
        </is>
      </c>
      <c r="G299" t="inlineStr">
        <is>
          <t>VARBERG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44641</v>
      </c>
      <c r="E300" s="1" t="n">
        <v>46298</v>
      </c>
      <c r="F300" t="inlineStr">
        <is>
          <t>HALLANDS LÄN</t>
        </is>
      </c>
      <c r="G300" t="inlineStr">
        <is>
          <t>VARBERG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46298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46298</v>
      </c>
      <c r="F302" t="inlineStr">
        <is>
          <t>HALLANDS LÄN</t>
        </is>
      </c>
      <c r="G302" t="inlineStr">
        <is>
          <t>VARBERG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46298</v>
      </c>
      <c r="F303" t="inlineStr">
        <is>
          <t>HALLANDS LÄN</t>
        </is>
      </c>
      <c r="G303" t="inlineStr">
        <is>
          <t>VARBERG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46298</v>
      </c>
      <c r="F304" t="inlineStr">
        <is>
          <t>HALLANDS LÄN</t>
        </is>
      </c>
      <c r="G304" t="inlineStr">
        <is>
          <t>VARBERG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46298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46298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46298</v>
      </c>
      <c r="F307" t="inlineStr">
        <is>
          <t>HALLANDS LÄN</t>
        </is>
      </c>
      <c r="G307" t="inlineStr">
        <is>
          <t>VARBERG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46298</v>
      </c>
      <c r="F308" t="inlineStr">
        <is>
          <t>HALLANDS LÄN</t>
        </is>
      </c>
      <c r="G308" t="inlineStr">
        <is>
          <t>VARBERG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46298</v>
      </c>
      <c r="F309" t="inlineStr">
        <is>
          <t>HALLANDS LÄN</t>
        </is>
      </c>
      <c r="G309" t="inlineStr">
        <is>
          <t>VARBERG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46298</v>
      </c>
      <c r="F310" t="inlineStr">
        <is>
          <t>HALLANDS LÄN</t>
        </is>
      </c>
      <c r="G310" t="inlineStr">
        <is>
          <t>VARBERG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46298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46298</v>
      </c>
      <c r="F312" t="inlineStr">
        <is>
          <t>HALLANDS LÄN</t>
        </is>
      </c>
      <c r="G312" t="inlineStr">
        <is>
          <t>VARBERG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46298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45717</v>
      </c>
      <c r="E314" s="1" t="n">
        <v>46298</v>
      </c>
      <c r="F314" t="inlineStr">
        <is>
          <t>HALLANDS LÄN</t>
        </is>
      </c>
      <c r="G314" t="inlineStr">
        <is>
          <t>VARBERG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46298</v>
      </c>
      <c r="F315" t="inlineStr">
        <is>
          <t>HALLANDS LÄN</t>
        </is>
      </c>
      <c r="G315" t="inlineStr">
        <is>
          <t>VARBERG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46298</v>
      </c>
      <c r="F316" t="inlineStr">
        <is>
          <t>HALLANDS LÄN</t>
        </is>
      </c>
      <c r="G316" t="inlineStr">
        <is>
          <t>VARBERG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46298</v>
      </c>
      <c r="F317" t="inlineStr">
        <is>
          <t>HALLANDS LÄN</t>
        </is>
      </c>
      <c r="G317" t="inlineStr">
        <is>
          <t>VARBERG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46298</v>
      </c>
      <c r="F318" t="inlineStr">
        <is>
          <t>HALLANDS LÄN</t>
        </is>
      </c>
      <c r="G318" t="inlineStr">
        <is>
          <t>VARBERG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45705</v>
      </c>
      <c r="E319" s="1" t="n">
        <v>46298</v>
      </c>
      <c r="F319" t="inlineStr">
        <is>
          <t>HALLANDS LÄN</t>
        </is>
      </c>
      <c r="G319" t="inlineStr">
        <is>
          <t>VARBERG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46298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46298</v>
      </c>
      <c r="F321" t="inlineStr">
        <is>
          <t>HALLANDS LÄN</t>
        </is>
      </c>
      <c r="G321" t="inlineStr">
        <is>
          <t>VARBERG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46298</v>
      </c>
      <c r="F322" t="inlineStr">
        <is>
          <t>HALLANDS LÄN</t>
        </is>
      </c>
      <c r="G322" t="inlineStr">
        <is>
          <t>VARBERG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44797</v>
      </c>
      <c r="E323" s="1" t="n">
        <v>46298</v>
      </c>
      <c r="F323" t="inlineStr">
        <is>
          <t>HALLANDS LÄN</t>
        </is>
      </c>
      <c r="G323" t="inlineStr">
        <is>
          <t>VARBERG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46298</v>
      </c>
      <c r="F324" t="inlineStr">
        <is>
          <t>HALLANDS LÄN</t>
        </is>
      </c>
      <c r="G324" t="inlineStr">
        <is>
          <t>VARBERG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46298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46298</v>
      </c>
      <c r="F326" t="inlineStr">
        <is>
          <t>HALLANDS LÄN</t>
        </is>
      </c>
      <c r="G326" t="inlineStr">
        <is>
          <t>VARBERG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46298</v>
      </c>
      <c r="F327" t="inlineStr">
        <is>
          <t>HALLANDS LÄN</t>
        </is>
      </c>
      <c r="G327" t="inlineStr">
        <is>
          <t>VARBERG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46298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44649</v>
      </c>
      <c r="E329" s="1" t="n">
        <v>46298</v>
      </c>
      <c r="F329" t="inlineStr">
        <is>
          <t>HALLANDS LÄN</t>
        </is>
      </c>
      <c r="G329" t="inlineStr">
        <is>
          <t>VARBERG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46175</v>
      </c>
      <c r="E330" s="1" t="n">
        <v>46298</v>
      </c>
      <c r="F330" t="inlineStr">
        <is>
          <t>HALLANDS LÄN</t>
        </is>
      </c>
      <c r="G330" t="inlineStr">
        <is>
          <t>VARBERG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46298</v>
      </c>
      <c r="F331" t="inlineStr">
        <is>
          <t>HALLANDS LÄN</t>
        </is>
      </c>
      <c r="G331" t="inlineStr">
        <is>
          <t>VARBERG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46298</v>
      </c>
      <c r="F332" t="inlineStr">
        <is>
          <t>HALLANDS LÄN</t>
        </is>
      </c>
      <c r="G332" t="inlineStr">
        <is>
          <t>VARBERG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46298</v>
      </c>
      <c r="F333" t="inlineStr">
        <is>
          <t>HALLANDS LÄN</t>
        </is>
      </c>
      <c r="G333" t="inlineStr">
        <is>
          <t>VARBERG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46298</v>
      </c>
      <c r="F334" t="inlineStr">
        <is>
          <t>HALLANDS LÄN</t>
        </is>
      </c>
      <c r="G334" t="inlineStr">
        <is>
          <t>VARBERG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10940-2022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44628</v>
      </c>
      <c r="E335" s="1" t="n">
        <v>46298</v>
      </c>
      <c r="F335" t="inlineStr">
        <is>
          <t>HALLANDS LÄN</t>
        </is>
      </c>
      <c r="G335" t="inlineStr">
        <is>
          <t>VARBERG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46298</v>
      </c>
      <c r="F336" t="inlineStr">
        <is>
          <t>HALLANDS LÄN</t>
        </is>
      </c>
      <c r="G336" t="inlineStr">
        <is>
          <t>VARBERG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46298</v>
      </c>
      <c r="F337" t="inlineStr">
        <is>
          <t>HALLANDS LÄN</t>
        </is>
      </c>
      <c r="G337" t="inlineStr">
        <is>
          <t>VARBERG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45722</v>
      </c>
      <c r="E338" s="1" t="n">
        <v>46298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46298</v>
      </c>
      <c r="F339" t="inlineStr">
        <is>
          <t>HALLANDS LÄN</t>
        </is>
      </c>
      <c r="G339" t="inlineStr">
        <is>
          <t>VARBERG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46298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46298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14312-2022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44652</v>
      </c>
      <c r="E342" s="1" t="n">
        <v>46298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46298</v>
      </c>
      <c r="F343" t="inlineStr">
        <is>
          <t>HALLANDS LÄN</t>
        </is>
      </c>
      <c r="G343" t="inlineStr">
        <is>
          <t>VARBERG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44657</v>
      </c>
      <c r="E344" s="1" t="n">
        <v>46298</v>
      </c>
      <c r="F344" t="inlineStr">
        <is>
          <t>HALLANDS LÄN</t>
        </is>
      </c>
      <c r="G344" t="inlineStr">
        <is>
          <t>VARBERG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46298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46298</v>
      </c>
      <c r="F346" t="inlineStr">
        <is>
          <t>HALLANDS LÄN</t>
        </is>
      </c>
      <c r="G346" t="inlineStr">
        <is>
          <t>VARBERG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46298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46298</v>
      </c>
      <c r="F348" t="inlineStr">
        <is>
          <t>HALLANDS LÄN</t>
        </is>
      </c>
      <c r="G348" t="inlineStr">
        <is>
          <t>VARBERG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46298</v>
      </c>
      <c r="F349" t="inlineStr">
        <is>
          <t>HALLANDS LÄN</t>
        </is>
      </c>
      <c r="G349" t="inlineStr">
        <is>
          <t>VARBERG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46298</v>
      </c>
      <c r="F350" t="inlineStr">
        <is>
          <t>HALLANDS LÄN</t>
        </is>
      </c>
      <c r="G350" t="inlineStr">
        <is>
          <t>VARBERG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46298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46298</v>
      </c>
      <c r="F352" t="inlineStr">
        <is>
          <t>HALLANDS LÄN</t>
        </is>
      </c>
      <c r="G352" t="inlineStr">
        <is>
          <t>VARBERG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46298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46298</v>
      </c>
      <c r="F354" t="inlineStr">
        <is>
          <t>HALLANDS LÄN</t>
        </is>
      </c>
      <c r="G354" t="inlineStr">
        <is>
          <t>VARBERG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46298</v>
      </c>
      <c r="F355" t="inlineStr">
        <is>
          <t>HALLANDS LÄN</t>
        </is>
      </c>
      <c r="G355" t="inlineStr">
        <is>
          <t>VARBERG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70040-2021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44533</v>
      </c>
      <c r="E356" s="1" t="n">
        <v>46298</v>
      </c>
      <c r="F356" t="inlineStr">
        <is>
          <t>HALLANDS LÄN</t>
        </is>
      </c>
      <c r="G356" t="inlineStr">
        <is>
          <t>VARBERG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46298</v>
      </c>
      <c r="F357" t="inlineStr">
        <is>
          <t>HALLANDS LÄN</t>
        </is>
      </c>
      <c r="G357" t="inlineStr">
        <is>
          <t>VARBERG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46298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46298</v>
      </c>
      <c r="F359" t="inlineStr">
        <is>
          <t>HALLANDS LÄN</t>
        </is>
      </c>
      <c r="G359" t="inlineStr">
        <is>
          <t>VARBERG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46298</v>
      </c>
      <c r="F360" t="inlineStr">
        <is>
          <t>HALLANDS LÄN</t>
        </is>
      </c>
      <c r="G360" t="inlineStr">
        <is>
          <t>VARBERG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64767-2023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45281</v>
      </c>
      <c r="E361" s="1" t="n">
        <v>46298</v>
      </c>
      <c r="F361" t="inlineStr">
        <is>
          <t>HALLANDS LÄN</t>
        </is>
      </c>
      <c r="G361" t="inlineStr">
        <is>
          <t>VARBERG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46298</v>
      </c>
      <c r="F362" t="inlineStr">
        <is>
          <t>HALLANDS LÄN</t>
        </is>
      </c>
      <c r="G362" t="inlineStr">
        <is>
          <t>VARBERG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46771-2022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46298</v>
      </c>
      <c r="F363" t="inlineStr">
        <is>
          <t>HALLANDS LÄN</t>
        </is>
      </c>
      <c r="G363" t="inlineStr">
        <is>
          <t>VARBERG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46298</v>
      </c>
      <c r="F364" t="inlineStr">
        <is>
          <t>HALLANDS LÄN</t>
        </is>
      </c>
      <c r="G364" t="inlineStr">
        <is>
          <t>VARBERG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46298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46298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46298</v>
      </c>
      <c r="F367" t="inlineStr">
        <is>
          <t>HALLANDS LÄN</t>
        </is>
      </c>
      <c r="G367" t="inlineStr">
        <is>
          <t>VARBERG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46298</v>
      </c>
      <c r="F368" t="inlineStr">
        <is>
          <t>HALLANDS LÄN</t>
        </is>
      </c>
      <c r="G368" t="inlineStr">
        <is>
          <t>VARBERG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46298</v>
      </c>
      <c r="F369" t="inlineStr">
        <is>
          <t>HALLANDS LÄN</t>
        </is>
      </c>
      <c r="G369" t="inlineStr">
        <is>
          <t>VARBERG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46298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46298</v>
      </c>
      <c r="F371" t="inlineStr">
        <is>
          <t>HALLANDS LÄN</t>
        </is>
      </c>
      <c r="G371" t="inlineStr">
        <is>
          <t>VARBERG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46298</v>
      </c>
      <c r="F372" t="inlineStr">
        <is>
          <t>HALLANDS LÄN</t>
        </is>
      </c>
      <c r="G372" t="inlineStr">
        <is>
          <t>VARBERG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46298</v>
      </c>
      <c r="F373" t="inlineStr">
        <is>
          <t>HALLANDS LÄN</t>
        </is>
      </c>
      <c r="G373" t="inlineStr">
        <is>
          <t>VARBERG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45238</v>
      </c>
      <c r="E374" s="1" t="n">
        <v>46298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46298</v>
      </c>
      <c r="F375" t="inlineStr">
        <is>
          <t>HALLANDS LÄN</t>
        </is>
      </c>
      <c r="G375" t="inlineStr">
        <is>
          <t>VARBERG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9614-2024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45361</v>
      </c>
      <c r="E376" s="1" t="n">
        <v>46298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51932-2024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45607</v>
      </c>
      <c r="E377" s="1" t="n">
        <v>46298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46298</v>
      </c>
      <c r="F378" t="inlineStr">
        <is>
          <t>HALLANDS LÄN</t>
        </is>
      </c>
      <c r="G378" t="inlineStr">
        <is>
          <t>VARBERG</t>
        </is>
      </c>
      <c r="H378" t="inlineStr">
        <is>
          <t>Kyrkan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46298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46298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46298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46298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46298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46298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46298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46298</v>
      </c>
      <c r="F386" t="inlineStr">
        <is>
          <t>HALLANDS LÄN</t>
        </is>
      </c>
      <c r="G386" t="inlineStr">
        <is>
          <t>VARBERG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46298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46273</v>
      </c>
      <c r="E388" s="1" t="n">
        <v>46298</v>
      </c>
      <c r="F388" t="inlineStr">
        <is>
          <t>HALLANDS LÄN</t>
        </is>
      </c>
      <c r="G388" t="inlineStr">
        <is>
          <t>VARBERG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45058</v>
      </c>
      <c r="E389" s="1" t="n">
        <v>46298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46298</v>
      </c>
      <c r="F390" t="inlineStr">
        <is>
          <t>HALLANDS LÄN</t>
        </is>
      </c>
      <c r="G390" t="inlineStr">
        <is>
          <t>VARBERG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45434</v>
      </c>
      <c r="E391" s="1" t="n">
        <v>46298</v>
      </c>
      <c r="F391" t="inlineStr">
        <is>
          <t>HALLANDS LÄN</t>
        </is>
      </c>
      <c r="G391" t="inlineStr">
        <is>
          <t>VARBERG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46234</v>
      </c>
      <c r="E392" s="1" t="n">
        <v>46298</v>
      </c>
      <c r="F392" t="inlineStr">
        <is>
          <t>HALLANDS LÄN</t>
        </is>
      </c>
      <c r="G392" t="inlineStr">
        <is>
          <t>VARBERG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46298</v>
      </c>
      <c r="F393" t="inlineStr">
        <is>
          <t>HALLANDS LÄN</t>
        </is>
      </c>
      <c r="G393" t="inlineStr">
        <is>
          <t>VARBERG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46298</v>
      </c>
      <c r="F394" t="inlineStr">
        <is>
          <t>HALLANDS LÄN</t>
        </is>
      </c>
      <c r="G394" t="inlineStr">
        <is>
          <t>VARBERG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46298</v>
      </c>
      <c r="F395" t="inlineStr">
        <is>
          <t>HALLANDS LÄN</t>
        </is>
      </c>
      <c r="G395" t="inlineStr">
        <is>
          <t>VARBERG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36424-2026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46269</v>
      </c>
      <c r="E396" s="1" t="n">
        <v>46298</v>
      </c>
      <c r="F396" t="inlineStr">
        <is>
          <t>HALLANDS LÄN</t>
        </is>
      </c>
      <c r="G396" t="inlineStr">
        <is>
          <t>VARBERG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45197</v>
      </c>
      <c r="E397" s="1" t="n">
        <v>46298</v>
      </c>
      <c r="F397" t="inlineStr">
        <is>
          <t>HALLANDS LÄN</t>
        </is>
      </c>
      <c r="G397" t="inlineStr">
        <is>
          <t>VARBERG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46280</v>
      </c>
      <c r="E398" s="1" t="n">
        <v>46298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46298</v>
      </c>
      <c r="F399" t="inlineStr">
        <is>
          <t>HALLANDS LÄN</t>
        </is>
      </c>
      <c r="G399" t="inlineStr">
        <is>
          <t>VARBERG</t>
        </is>
      </c>
      <c r="H399" t="inlineStr">
        <is>
          <t>Övriga statliga verk och myndigheter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46298</v>
      </c>
      <c r="F400" t="inlineStr">
        <is>
          <t>HALLANDS LÄN</t>
        </is>
      </c>
      <c r="G400" t="inlineStr">
        <is>
          <t>VARBERG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46298</v>
      </c>
      <c r="F401" t="inlineStr">
        <is>
          <t>HALLANDS LÄN</t>
        </is>
      </c>
      <c r="G401" t="inlineStr">
        <is>
          <t>VARBERG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45397</v>
      </c>
      <c r="E402" s="1" t="n">
        <v>46298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45772</v>
      </c>
      <c r="E403" s="1" t="n">
        <v>46298</v>
      </c>
      <c r="F403" t="inlineStr">
        <is>
          <t>HALLANDS LÄN</t>
        </is>
      </c>
      <c r="G403" t="inlineStr">
        <is>
          <t>VARBERG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46298</v>
      </c>
      <c r="F404" t="inlineStr">
        <is>
          <t>HALLANDS LÄN</t>
        </is>
      </c>
      <c r="G404" t="inlineStr">
        <is>
          <t>VARBERG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46298</v>
      </c>
      <c r="F405" t="inlineStr">
        <is>
          <t>HALLANDS LÄN</t>
        </is>
      </c>
      <c r="G405" t="inlineStr">
        <is>
          <t>VARBERG</t>
        </is>
      </c>
      <c r="I405" t="n">
        <v>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44770</v>
      </c>
      <c r="E406" s="1" t="n">
        <v>46298</v>
      </c>
      <c r="F406" t="inlineStr">
        <is>
          <t>HALLANDS LÄN</t>
        </is>
      </c>
      <c r="G406" t="inlineStr">
        <is>
          <t>VARBERG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46298</v>
      </c>
      <c r="F407" t="inlineStr">
        <is>
          <t>HALLANDS LÄN</t>
        </is>
      </c>
      <c r="G407" t="inlineStr">
        <is>
          <t>VARBERG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45422</v>
      </c>
      <c r="E408" s="1" t="n">
        <v>46298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56320-2022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44890</v>
      </c>
      <c r="E409" s="1" t="n">
        <v>46298</v>
      </c>
      <c r="F409" t="inlineStr">
        <is>
          <t>HALLANDS LÄN</t>
        </is>
      </c>
      <c r="G409" t="inlineStr">
        <is>
          <t>VARBERG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57669-2023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46298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46298</v>
      </c>
      <c r="F411" t="inlineStr">
        <is>
          <t>HALLANDS LÄN</t>
        </is>
      </c>
      <c r="G411" t="inlineStr">
        <is>
          <t>VARBERG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46286</v>
      </c>
      <c r="E412" s="1" t="n">
        <v>46298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46298</v>
      </c>
      <c r="F413" t="inlineStr">
        <is>
          <t>HALLANDS LÄN</t>
        </is>
      </c>
      <c r="G413" t="inlineStr">
        <is>
          <t>VARBERG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46298</v>
      </c>
      <c r="F414" t="inlineStr">
        <is>
          <t>HALLANDS LÄN</t>
        </is>
      </c>
      <c r="G414" t="inlineStr">
        <is>
          <t>VARBERG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45567</v>
      </c>
      <c r="E415" s="1" t="n">
        <v>46298</v>
      </c>
      <c r="F415" t="inlineStr">
        <is>
          <t>HALLANDS LÄN</t>
        </is>
      </c>
      <c r="G415" t="inlineStr">
        <is>
          <t>VARBERG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45344</v>
      </c>
      <c r="E416" s="1" t="n">
        <v>46298</v>
      </c>
      <c r="F416" t="inlineStr">
        <is>
          <t>HALLANDS LÄN</t>
        </is>
      </c>
      <c r="G416" t="inlineStr">
        <is>
          <t>VARBERG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36425-2026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46269</v>
      </c>
      <c r="E417" s="1" t="n">
        <v>46298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46298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46298</v>
      </c>
      <c r="F419" t="inlineStr">
        <is>
          <t>HALLANDS LÄN</t>
        </is>
      </c>
      <c r="G419" t="inlineStr">
        <is>
          <t>VARBERG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46298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46298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45708</v>
      </c>
      <c r="E422" s="1" t="n">
        <v>46298</v>
      </c>
      <c r="F422" t="inlineStr">
        <is>
          <t>HALLANDS LÄN</t>
        </is>
      </c>
      <c r="G422" t="inlineStr">
        <is>
          <t>VARBERG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45626-2024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46298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45457</v>
      </c>
      <c r="E424" s="1" t="n">
        <v>46298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45744</v>
      </c>
      <c r="E425" s="1" t="n">
        <v>46298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46298</v>
      </c>
      <c r="F426" t="inlineStr">
        <is>
          <t>HALLANDS LÄN</t>
        </is>
      </c>
      <c r="G426" t="inlineStr">
        <is>
          <t>VARBERG</t>
        </is>
      </c>
      <c r="H426" t="inlineStr">
        <is>
          <t>Övriga statliga verk och myndigheter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46298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46298</v>
      </c>
      <c r="F428" t="inlineStr">
        <is>
          <t>HALLANDS LÄN</t>
        </is>
      </c>
      <c r="G428" t="inlineStr">
        <is>
          <t>VARBERG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46298</v>
      </c>
      <c r="F429" t="inlineStr">
        <is>
          <t>HALLANDS LÄN</t>
        </is>
      </c>
      <c r="G429" t="inlineStr">
        <is>
          <t>VARBERG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44981</v>
      </c>
      <c r="E430" s="1" t="n">
        <v>46298</v>
      </c>
      <c r="F430" t="inlineStr">
        <is>
          <t>HALLANDS LÄN</t>
        </is>
      </c>
      <c r="G430" t="inlineStr">
        <is>
          <t>VARBERG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46295</v>
      </c>
      <c r="E431" s="1" t="n">
        <v>46298</v>
      </c>
      <c r="F431" t="inlineStr">
        <is>
          <t>HALLANDS LÄN</t>
        </is>
      </c>
      <c r="G431" t="inlineStr">
        <is>
          <t>VARBERG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44722</v>
      </c>
      <c r="E432" s="1" t="n">
        <v>46298</v>
      </c>
      <c r="F432" t="inlineStr">
        <is>
          <t>HALLANDS LÄN</t>
        </is>
      </c>
      <c r="G432" t="inlineStr">
        <is>
          <t>VARBERG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46298</v>
      </c>
      <c r="F433" t="inlineStr">
        <is>
          <t>HALLANDS LÄN</t>
        </is>
      </c>
      <c r="G433" t="inlineStr">
        <is>
          <t>VARBERG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45272</v>
      </c>
      <c r="E434" s="1" t="n">
        <v>46298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46298</v>
      </c>
      <c r="F435" t="inlineStr">
        <is>
          <t>HALLANDS LÄN</t>
        </is>
      </c>
      <c r="G435" t="inlineStr">
        <is>
          <t>VARBERG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46298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37872-2026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46279</v>
      </c>
      <c r="E437" s="1" t="n">
        <v>46298</v>
      </c>
      <c r="F437" t="inlineStr">
        <is>
          <t>HALLANDS LÄN</t>
        </is>
      </c>
      <c r="G437" t="inlineStr">
        <is>
          <t>VARBERG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45743</v>
      </c>
      <c r="E438" s="1" t="n">
        <v>46298</v>
      </c>
      <c r="F438" t="inlineStr">
        <is>
          <t>HALLANDS LÄN</t>
        </is>
      </c>
      <c r="G438" t="inlineStr">
        <is>
          <t>VARBERG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46298</v>
      </c>
      <c r="F439" t="inlineStr">
        <is>
          <t>HALLANDS LÄN</t>
        </is>
      </c>
      <c r="G439" t="inlineStr">
        <is>
          <t>VARBERG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46298</v>
      </c>
      <c r="F440" t="inlineStr">
        <is>
          <t>HALLANDS LÄN</t>
        </is>
      </c>
      <c r="G440" t="inlineStr">
        <is>
          <t>VARBERG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45058</v>
      </c>
      <c r="E441" s="1" t="n">
        <v>46298</v>
      </c>
      <c r="F441" t="inlineStr">
        <is>
          <t>HALLANDS LÄN</t>
        </is>
      </c>
      <c r="G441" t="inlineStr">
        <is>
          <t>VARBERG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46298</v>
      </c>
      <c r="F442" t="inlineStr">
        <is>
          <t>HALLANDS LÄN</t>
        </is>
      </c>
      <c r="G442" t="inlineStr">
        <is>
          <t>VARBERG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45013</v>
      </c>
      <c r="E443" s="1" t="n">
        <v>46298</v>
      </c>
      <c r="F443" t="inlineStr">
        <is>
          <t>HALLANDS LÄN</t>
        </is>
      </c>
      <c r="G443" t="inlineStr">
        <is>
          <t>VARBERG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41961-2023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45177</v>
      </c>
      <c r="E444" s="1" t="n">
        <v>46298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44607</v>
      </c>
      <c r="E445" s="1" t="n">
        <v>46298</v>
      </c>
      <c r="F445" t="inlineStr">
        <is>
          <t>HALLANDS LÄN</t>
        </is>
      </c>
      <c r="G445" t="inlineStr">
        <is>
          <t>VARBERG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46298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45722</v>
      </c>
      <c r="E447" s="1" t="n">
        <v>46298</v>
      </c>
      <c r="F447" t="inlineStr">
        <is>
          <t>HALLANDS LÄN</t>
        </is>
      </c>
      <c r="G447" t="inlineStr">
        <is>
          <t>VARBERG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45432</v>
      </c>
      <c r="E448" s="1" t="n">
        <v>46298</v>
      </c>
      <c r="F448" t="inlineStr">
        <is>
          <t>HALLANDS LÄN</t>
        </is>
      </c>
      <c r="G448" t="inlineStr">
        <is>
          <t>VARBERG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45096</v>
      </c>
      <c r="E449" s="1" t="n">
        <v>46298</v>
      </c>
      <c r="F449" t="inlineStr">
        <is>
          <t>HALLANDS LÄN</t>
        </is>
      </c>
      <c r="G449" t="inlineStr">
        <is>
          <t>VARBERG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46298</v>
      </c>
      <c r="F450" t="inlineStr">
        <is>
          <t>HALLANDS LÄN</t>
        </is>
      </c>
      <c r="G450" t="inlineStr">
        <is>
          <t>VARBERG</t>
        </is>
      </c>
      <c r="H450" t="inlineStr">
        <is>
          <t>Övriga statliga verk och myndigheter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46298</v>
      </c>
      <c r="F451" t="inlineStr">
        <is>
          <t>HALLANDS LÄN</t>
        </is>
      </c>
      <c r="G451" t="inlineStr">
        <is>
          <t>VARBERG</t>
        </is>
      </c>
      <c r="H451" t="inlineStr">
        <is>
          <t>Övriga statliga verk och myndigheter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45086</v>
      </c>
      <c r="E452" s="1" t="n">
        <v>46298</v>
      </c>
      <c r="F452" t="inlineStr">
        <is>
          <t>HALLANDS LÄN</t>
        </is>
      </c>
      <c r="G452" t="inlineStr">
        <is>
          <t>VARBERG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46298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46298</v>
      </c>
      <c r="F454" t="inlineStr">
        <is>
          <t>HALLANDS LÄN</t>
        </is>
      </c>
      <c r="G454" t="inlineStr">
        <is>
          <t>VARBERG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45131</v>
      </c>
      <c r="E455" s="1" t="n">
        <v>46298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46298</v>
      </c>
      <c r="F456" t="inlineStr">
        <is>
          <t>HALLANDS LÄN</t>
        </is>
      </c>
      <c r="G456" t="inlineStr">
        <is>
          <t>VARBERG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45727</v>
      </c>
      <c r="E457" s="1" t="n">
        <v>46298</v>
      </c>
      <c r="F457" t="inlineStr">
        <is>
          <t>HALLANDS LÄN</t>
        </is>
      </c>
      <c r="G457" t="inlineStr">
        <is>
          <t>VARBERG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46298</v>
      </c>
      <c r="F458" t="inlineStr">
        <is>
          <t>HALLANDS LÄN</t>
        </is>
      </c>
      <c r="G458" t="inlineStr">
        <is>
          <t>VARBERG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45665</v>
      </c>
      <c r="E459" s="1" t="n">
        <v>46298</v>
      </c>
      <c r="F459" t="inlineStr">
        <is>
          <t>HALLANDS LÄN</t>
        </is>
      </c>
      <c r="G459" t="inlineStr">
        <is>
          <t>VARBERG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46298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46298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46298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46298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46298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46298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46298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46298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46298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46298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46298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46298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46298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46298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46298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46298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46298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46298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2026-10-03T02:00:04Z</dcterms:created>
  <dcterms:modified xmlns:dcterms="http://purl.org/dc/terms/" xmlns:xsi="http://www.w3.org/2001/XMLSchema-instance" xsi:type="dcterms:W3CDTF">2026-10-03T02:00:05Z</dcterms:modified>
</cp:coreProperties>
</file>