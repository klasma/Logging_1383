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46248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46248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46248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46248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46248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46248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46248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46248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46248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46248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46248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46248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46248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46248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42723-2023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45181</v>
      </c>
      <c r="E16" s="1" t="n">
        <v>46248</v>
      </c>
      <c r="F16" t="inlineStr">
        <is>
          <t>HALLANDS LÄN</t>
        </is>
      </c>
      <c r="G16" t="inlineStr">
        <is>
          <t>VARBERG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42723-2023 artfynd.xlsx", "A 42723-2023")</f>
        <v/>
      </c>
      <c r="X16">
        <f>HYPERLINK("https://klasma.github.io/Logging_1383/kartor/A 42723-2023 karta.png", "A 42723-2023")</f>
        <v/>
      </c>
      <c r="Y16">
        <f>HYPERLINK("https://klasma.github.io/Logging_1383/kartor_geotiff/A 42723-2023 georefererad karta.tif", "A 42723-2023")</f>
        <v/>
      </c>
      <c r="AA16">
        <f>HYPERLINK("https://klasma.github.io/Logging_1383/klagomål/A 42723-2023 FSC-klagomål.docx", "A 42723-2023")</f>
        <v/>
      </c>
      <c r="AB16">
        <f>HYPERLINK("https://klasma.github.io/Logging_1383/klagomålsmail/A 42723-2023 FSC-klagomål mail.docx", "A 42723-2023")</f>
        <v/>
      </c>
      <c r="AC16">
        <f>HYPERLINK("https://klasma.github.io/Logging_1383/tillsyn/A 42723-2023 tillsynsbegäran.docx", "A 42723-2023")</f>
        <v/>
      </c>
      <c r="AD16">
        <f>HYPERLINK("https://klasma.github.io/Logging_1383/tillsynsmail/A 42723-2023 tillsynsbegäran mail.docx", "A 42723-2023")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46248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53915-2021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44469</v>
      </c>
      <c r="E18" s="1" t="n">
        <v>46248</v>
      </c>
      <c r="F18" t="inlineStr">
        <is>
          <t>HALLANDS LÄN</t>
        </is>
      </c>
      <c r="G18" t="inlineStr">
        <is>
          <t>VARBERG</t>
        </is>
      </c>
      <c r="I18" t="n">
        <v>0.9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Entita</t>
        </is>
      </c>
      <c r="W18">
        <f>HYPERLINK("https://klasma.github.io/Logging_1383/artfynd/A 53915-2021 artfynd.xlsx", "A 53915-2021")</f>
        <v/>
      </c>
      <c r="X18">
        <f>HYPERLINK("https://klasma.github.io/Logging_1383/kartor/A 53915-2021 karta.png", "A 53915-2021")</f>
        <v/>
      </c>
      <c r="Y18">
        <f>HYPERLINK("https://klasma.github.io/Logging_1383/kartor_geotiff/A 53915-2021 georefererad karta.tif", "A 53915-2021")</f>
        <v/>
      </c>
      <c r="AA18">
        <f>HYPERLINK("https://klasma.github.io/Logging_1383/klagomål/A 53915-2021 FSC-klagomål.docx", "A 53915-2021")</f>
        <v/>
      </c>
      <c r="AB18">
        <f>HYPERLINK("https://klasma.github.io/Logging_1383/klagomålsmail/A 53915-2021 FSC-klagomål mail.docx", "A 53915-2021")</f>
        <v/>
      </c>
      <c r="AC18">
        <f>HYPERLINK("https://klasma.github.io/Logging_1383/tillsyn/A 53915-2021 tillsynsbegäran.docx", "A 53915-2021")</f>
        <v/>
      </c>
      <c r="AD18">
        <f>HYPERLINK("https://klasma.github.io/Logging_1383/tillsynsmail/A 53915-2021 tillsynsbegäran mail.docx", "A 53915-2021")</f>
        <v/>
      </c>
      <c r="AE18">
        <f>HYPERLINK("https://klasma.github.io/Logging_1383/fåglar/A 53915-2021 prioriterade fågelarter.docx", "A 53915-2021")</f>
        <v/>
      </c>
    </row>
    <row r="19" ht="15" customHeight="1">
      <c r="A19" t="inlineStr">
        <is>
          <t>A 15095-2025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46248</v>
      </c>
      <c r="F19" t="inlineStr">
        <is>
          <t>HALLANDS LÄN</t>
        </is>
      </c>
      <c r="G19" t="inlineStr">
        <is>
          <t>VARBERG</t>
        </is>
      </c>
      <c r="I19" t="n">
        <v>3.7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HYPERLINK("https://klasma.github.io/Logging_1383/artfynd/A 15095-2025 artfynd.xlsx", "A 15095-2025")</f>
        <v/>
      </c>
      <c r="X19">
        <f>HYPERLINK("https://klasma.github.io/Logging_1383/kartor/A 15095-2025 karta.png", "A 15095-2025")</f>
        <v/>
      </c>
      <c r="Y19">
        <f>HYPERLINK("https://klasma.github.io/Logging_1383/kartor_geotiff/A 15095-2025 georefererad karta.tif", "A 15095-2025")</f>
        <v/>
      </c>
      <c r="AA19">
        <f>HYPERLINK("https://klasma.github.io/Logging_1383/klagomål/A 15095-2025 FSC-klagomål.docx", "A 15095-2025")</f>
        <v/>
      </c>
      <c r="AB19">
        <f>HYPERLINK("https://klasma.github.io/Logging_1383/klagomålsmail/A 15095-2025 FSC-klagomål mail.docx", "A 15095-2025")</f>
        <v/>
      </c>
      <c r="AC19">
        <f>HYPERLINK("https://klasma.github.io/Logging_1383/tillsyn/A 15095-2025 tillsynsbegäran.docx", "A 15095-2025")</f>
        <v/>
      </c>
      <c r="AD19">
        <f>HYPERLINK("https://klasma.github.io/Logging_1383/tillsynsmail/A 15095-2025 tillsynsbegäran mail.docx", "A 15095-2025")</f>
        <v/>
      </c>
    </row>
    <row r="20" ht="15" customHeight="1">
      <c r="A20" t="inlineStr">
        <is>
          <t>A 61966-2022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44918</v>
      </c>
      <c r="E20" s="1" t="n">
        <v>46248</v>
      </c>
      <c r="F20" t="inlineStr">
        <is>
          <t>HALLANDS LÄN</t>
        </is>
      </c>
      <c r="G20" t="inlineStr">
        <is>
          <t>VARBERG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Åkersyska</t>
        </is>
      </c>
      <c r="W20">
        <f>HYPERLINK("https://klasma.github.io/Logging_1383/artfynd/A 61966-2022 artfynd.xlsx", "A 61966-2022")</f>
        <v/>
      </c>
      <c r="X20">
        <f>HYPERLINK("https://klasma.github.io/Logging_1383/kartor/A 61966-2022 karta.png", "A 61966-2022")</f>
        <v/>
      </c>
      <c r="Y20">
        <f>HYPERLINK("https://klasma.github.io/Logging_1383/kartor_geotiff/A 61966-2022 georefererad karta.tif", "A 61966-2022")</f>
        <v/>
      </c>
      <c r="AA20">
        <f>HYPERLINK("https://klasma.github.io/Logging_1383/klagomål/A 61966-2022 FSC-klagomål.docx", "A 61966-2022")</f>
        <v/>
      </c>
      <c r="AB20">
        <f>HYPERLINK("https://klasma.github.io/Logging_1383/klagomålsmail/A 61966-2022 FSC-klagomål mail.docx", "A 61966-2022")</f>
        <v/>
      </c>
      <c r="AC20">
        <f>HYPERLINK("https://klasma.github.io/Logging_1383/tillsyn/A 61966-2022 tillsynsbegäran.docx", "A 61966-2022")</f>
        <v/>
      </c>
      <c r="AD20">
        <f>HYPERLINK("https://klasma.github.io/Logging_1383/tillsynsmail/A 61966-2022 tillsynsbegäran mail.docx", "A 61966-2022")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46248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46248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38226-2022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46248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HYPERLINK("https://klasma.github.io/Logging_1383/artfynd/A 38226-2022 artfynd.xlsx", "A 38226-2022")</f>
        <v/>
      </c>
      <c r="X23">
        <f>HYPERLINK("https://klasma.github.io/Logging_1383/kartor/A 38226-2022 karta.png", "A 38226-2022")</f>
        <v/>
      </c>
      <c r="Y23">
        <f>HYPERLINK("https://klasma.github.io/Logging_1383/kartor_geotiff/A 38226-2022 georefererad karta.tif", "A 38226-2022")</f>
        <v/>
      </c>
      <c r="AA23">
        <f>HYPERLINK("https://klasma.github.io/Logging_1383/klagomål/A 38226-2022 FSC-klagomål.docx", "A 38226-2022")</f>
        <v/>
      </c>
      <c r="AB23">
        <f>HYPERLINK("https://klasma.github.io/Logging_1383/klagomålsmail/A 38226-2022 FSC-klagomål mail.docx", "A 38226-2022")</f>
        <v/>
      </c>
      <c r="AC23">
        <f>HYPERLINK("https://klasma.github.io/Logging_1383/tillsyn/A 38226-2022 tillsynsbegäran.docx", "A 38226-2022")</f>
        <v/>
      </c>
      <c r="AD23">
        <f>HYPERLINK("https://klasma.github.io/Logging_1383/tillsynsmail/A 38226-2022 tillsynsbegäran mail.docx", "A 38226-2022")</f>
        <v/>
      </c>
    </row>
    <row r="24" ht="15" customHeight="1">
      <c r="A24" t="inlineStr">
        <is>
          <t>A 7038-2024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46248</v>
      </c>
      <c r="F24" t="inlineStr">
        <is>
          <t>HALLANDS LÄN</t>
        </is>
      </c>
      <c r="G24" t="inlineStr">
        <is>
          <t>VARBERG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Dvärgjohannesört</t>
        </is>
      </c>
      <c r="W24">
        <f>HYPERLINK("https://klasma.github.io/Logging_1383/artfynd/A 7038-2024 artfynd.xlsx", "A 7038-2024")</f>
        <v/>
      </c>
      <c r="X24">
        <f>HYPERLINK("https://klasma.github.io/Logging_1383/kartor/A 7038-2024 karta.png", "A 7038-2024")</f>
        <v/>
      </c>
      <c r="Y24">
        <f>HYPERLINK("https://klasma.github.io/Logging_1383/kartor_geotiff/A 7038-2024 georefererad karta.tif", "A 7038-2024")</f>
        <v/>
      </c>
      <c r="AA24">
        <f>HYPERLINK("https://klasma.github.io/Logging_1383/klagomål/A 7038-2024 FSC-klagomål.docx", "A 7038-2024")</f>
        <v/>
      </c>
      <c r="AB24">
        <f>HYPERLINK("https://klasma.github.io/Logging_1383/klagomålsmail/A 7038-2024 FSC-klagomål mail.docx", "A 7038-2024")</f>
        <v/>
      </c>
      <c r="AC24">
        <f>HYPERLINK("https://klasma.github.io/Logging_1383/tillsyn/A 7038-2024 tillsynsbegäran.docx", "A 7038-2024")</f>
        <v/>
      </c>
      <c r="AD24">
        <f>HYPERLINK("https://klasma.github.io/Logging_1383/tillsynsmail/A 7038-2024 tillsynsbegäran mail.docx", "A 7038-2024")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46248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HYPERLINK("https://klasma.github.io/Logging_1383/artfynd/A 34833-2023 artfynd.xlsx", "A 34833-2023")</f>
        <v/>
      </c>
      <c r="X25">
        <f>HYPERLINK("https://klasma.github.io/Logging_1383/kartor/A 34833-2023 karta.png", "A 34833-2023")</f>
        <v/>
      </c>
      <c r="Y25">
        <f>HYPERLINK("https://klasma.github.io/Logging_1383/kartor_geotiff/A 34833-2023 georefererad karta.tif", "A 34833-2023")</f>
        <v/>
      </c>
      <c r="AA25">
        <f>HYPERLINK("https://klasma.github.io/Logging_1383/klagomål/A 34833-2023 FSC-klagomål.docx", "A 34833-2023")</f>
        <v/>
      </c>
      <c r="AB25">
        <f>HYPERLINK("https://klasma.github.io/Logging_1383/klagomålsmail/A 34833-2023 FSC-klagomål mail.docx", "A 34833-2023")</f>
        <v/>
      </c>
      <c r="AC25">
        <f>HYPERLINK("https://klasma.github.io/Logging_1383/tillsyn/A 34833-2023 tillsynsbegäran.docx", "A 34833-2023")</f>
        <v/>
      </c>
      <c r="AD25">
        <f>HYPERLINK("https://klasma.github.io/Logging_1383/tillsynsmail/A 34833-2023 tillsynsbegäran mail.docx", "A 34833-2023")</f>
        <v/>
      </c>
    </row>
    <row r="26" ht="15" customHeight="1">
      <c r="A26" t="inlineStr">
        <is>
          <t>A 10751-2025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46248</v>
      </c>
      <c r="F26" t="inlineStr">
        <is>
          <t>HALLANDS LÄN</t>
        </is>
      </c>
      <c r="G26" t="inlineStr">
        <is>
          <t>VARBERG</t>
        </is>
      </c>
      <c r="I26" t="n">
        <v>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HYPERLINK("https://klasma.github.io/Logging_1383/artfynd/A 10751-2025 artfynd.xlsx", "A 10751-2025")</f>
        <v/>
      </c>
      <c r="X26">
        <f>HYPERLINK("https://klasma.github.io/Logging_1383/kartor/A 10751-2025 karta.png", "A 10751-2025")</f>
        <v/>
      </c>
      <c r="Y26">
        <f>HYPERLINK("https://klasma.github.io/Logging_1383/kartor_geotiff/A 10751-2025 georefererad karta.tif", "A 10751-2025")</f>
        <v/>
      </c>
      <c r="AA26">
        <f>HYPERLINK("https://klasma.github.io/Logging_1383/klagomål/A 10751-2025 FSC-klagomål.docx", "A 10751-2025")</f>
        <v/>
      </c>
      <c r="AB26">
        <f>HYPERLINK("https://klasma.github.io/Logging_1383/klagomålsmail/A 10751-2025 FSC-klagomål mail.docx", "A 10751-2025")</f>
        <v/>
      </c>
      <c r="AC26">
        <f>HYPERLINK("https://klasma.github.io/Logging_1383/tillsyn/A 10751-2025 tillsynsbegäran.docx", "A 10751-2025")</f>
        <v/>
      </c>
      <c r="AD26">
        <f>HYPERLINK("https://klasma.github.io/Logging_1383/tillsynsmail/A 10751-2025 tillsynsbegäran mail.docx", "A 10751-2025")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46248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58679-2023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45251</v>
      </c>
      <c r="E28" s="1" t="n">
        <v>46248</v>
      </c>
      <c r="F28" t="inlineStr">
        <is>
          <t>HALLANDS LÄN</t>
        </is>
      </c>
      <c r="G28" t="inlineStr">
        <is>
          <t>VARBERG</t>
        </is>
      </c>
      <c r="I28" t="n">
        <v>7.8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58679-2023 artfynd.xlsx", "A 58679-2023")</f>
        <v/>
      </c>
      <c r="X28">
        <f>HYPERLINK("https://klasma.github.io/Logging_1383/kartor/A 58679-2023 karta.png", "A 58679-2023")</f>
        <v/>
      </c>
      <c r="Y28">
        <f>HYPERLINK("https://klasma.github.io/Logging_1383/kartor_geotiff/A 58679-2023 georefererad karta.tif", "A 58679-2023")</f>
        <v/>
      </c>
      <c r="AA28">
        <f>HYPERLINK("https://klasma.github.io/Logging_1383/klagomål/A 58679-2023 FSC-klagomål.docx", "A 58679-2023")</f>
        <v/>
      </c>
      <c r="AB28">
        <f>HYPERLINK("https://klasma.github.io/Logging_1383/klagomålsmail/A 58679-2023 FSC-klagomål mail.docx", "A 58679-2023")</f>
        <v/>
      </c>
      <c r="AC28">
        <f>HYPERLINK("https://klasma.github.io/Logging_1383/tillsyn/A 58679-2023 tillsynsbegäran.docx", "A 58679-2023")</f>
        <v/>
      </c>
      <c r="AD28">
        <f>HYPERLINK("https://klasma.github.io/Logging_1383/tillsynsmail/A 58679-2023 tillsynsbegäran mail.docx", "A 58679-2023")</f>
        <v/>
      </c>
    </row>
    <row r="29" ht="15" customHeight="1">
      <c r="A29" t="inlineStr">
        <is>
          <t>A 33144-2025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46248</v>
      </c>
      <c r="F29" t="inlineStr">
        <is>
          <t>HALLANDS LÄN</t>
        </is>
      </c>
      <c r="G29" t="inlineStr">
        <is>
          <t>VARBERG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HYPERLINK("https://klasma.github.io/Logging_1383/artfynd/A 33144-2025 artfynd.xlsx", "A 33144-2025")</f>
        <v/>
      </c>
      <c r="X29">
        <f>HYPERLINK("https://klasma.github.io/Logging_1383/kartor/A 33144-2025 karta.png", "A 33144-2025")</f>
        <v/>
      </c>
      <c r="Y29">
        <f>HYPERLINK("https://klasma.github.io/Logging_1383/kartor_geotiff/A 33144-2025 georefererad karta.tif", "A 33144-2025")</f>
        <v/>
      </c>
      <c r="AA29">
        <f>HYPERLINK("https://klasma.github.io/Logging_1383/klagomål/A 33144-2025 FSC-klagomål.docx", "A 33144-2025")</f>
        <v/>
      </c>
      <c r="AB29">
        <f>HYPERLINK("https://klasma.github.io/Logging_1383/klagomålsmail/A 33144-2025 FSC-klagomål mail.docx", "A 33144-2025")</f>
        <v/>
      </c>
      <c r="AC29">
        <f>HYPERLINK("https://klasma.github.io/Logging_1383/tillsyn/A 33144-2025 tillsynsbegäran.docx", "A 33144-2025")</f>
        <v/>
      </c>
      <c r="AD29">
        <f>HYPERLINK("https://klasma.github.io/Logging_1383/tillsynsmail/A 33144-2025 tillsynsbegäran mail.docx", "A 33144-2025")</f>
        <v/>
      </c>
      <c r="AE29">
        <f>HYPERLINK("https://klasma.github.io/Logging_1383/fåglar/A 33144-2025 prioriterade fågelarter.docx", "A 33144-2025")</f>
        <v/>
      </c>
    </row>
    <row r="30" ht="15" customHeight="1">
      <c r="A30" t="inlineStr">
        <is>
          <t>A 42573-2022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46248</v>
      </c>
      <c r="F30" t="inlineStr">
        <is>
          <t>HALLANDS LÄN</t>
        </is>
      </c>
      <c r="G30" t="inlineStr">
        <is>
          <t>VARBERG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 glada</t>
        </is>
      </c>
      <c r="W30">
        <f>HYPERLINK("https://klasma.github.io/Logging_1383/artfynd/A 42573-2022 artfynd.xlsx", "A 42573-2022")</f>
        <v/>
      </c>
      <c r="X30">
        <f>HYPERLINK("https://klasma.github.io/Logging_1383/kartor/A 42573-2022 karta.png", "A 42573-2022")</f>
        <v/>
      </c>
      <c r="Y30">
        <f>HYPERLINK("https://klasma.github.io/Logging_1383/kartor_geotiff/A 42573-2022 georefererad karta.tif", "A 42573-2022")</f>
        <v/>
      </c>
      <c r="AA30">
        <f>HYPERLINK("https://klasma.github.io/Logging_1383/klagomål/A 42573-2022 FSC-klagomål.docx", "A 42573-2022")</f>
        <v/>
      </c>
      <c r="AB30">
        <f>HYPERLINK("https://klasma.github.io/Logging_1383/klagomålsmail/A 42573-2022 FSC-klagomål mail.docx", "A 42573-2022")</f>
        <v/>
      </c>
      <c r="AC30">
        <f>HYPERLINK("https://klasma.github.io/Logging_1383/tillsyn/A 42573-2022 tillsynsbegäran.docx", "A 42573-2022")</f>
        <v/>
      </c>
      <c r="AD30">
        <f>HYPERLINK("https://klasma.github.io/Logging_1383/tillsynsmail/A 42573-2022 tillsynsbegäran mail.docx", "A 42573-2022")</f>
        <v/>
      </c>
      <c r="AE30">
        <f>HYPERLINK("https://klasma.github.io/Logging_1383/fåglar/A 42573-2022 prioriterade fågelarter.docx", "A 42573-2022")</f>
        <v/>
      </c>
    </row>
    <row r="31" ht="15" customHeight="1">
      <c r="A31" t="inlineStr">
        <is>
          <t>A 46737-2023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45198</v>
      </c>
      <c r="E31" s="1" t="n">
        <v>46248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HYPERLINK("https://klasma.github.io/Logging_1383/artfynd/A 46737-2023 artfynd.xlsx", "A 46737-2023")</f>
        <v/>
      </c>
      <c r="X31">
        <f>HYPERLINK("https://klasma.github.io/Logging_1383/kartor/A 46737-2023 karta.png", "A 46737-2023")</f>
        <v/>
      </c>
      <c r="Y31">
        <f>HYPERLINK("https://klasma.github.io/Logging_1383/kartor_geotiff/A 46737-2023 georefererad karta.tif", "A 46737-2023")</f>
        <v/>
      </c>
      <c r="AA31">
        <f>HYPERLINK("https://klasma.github.io/Logging_1383/klagomål/A 46737-2023 FSC-klagomål.docx", "A 46737-2023")</f>
        <v/>
      </c>
      <c r="AB31">
        <f>HYPERLINK("https://klasma.github.io/Logging_1383/klagomålsmail/A 46737-2023 FSC-klagomål mail.docx", "A 46737-2023")</f>
        <v/>
      </c>
      <c r="AC31">
        <f>HYPERLINK("https://klasma.github.io/Logging_1383/tillsyn/A 46737-2023 tillsynsbegäran.docx", "A 46737-2023")</f>
        <v/>
      </c>
      <c r="AD31">
        <f>HYPERLINK("https://klasma.github.io/Logging_1383/tillsynsmail/A 46737-2023 tillsynsbegäran mail.docx", "A 46737-2023")</f>
        <v/>
      </c>
    </row>
    <row r="32" ht="15" customHeight="1">
      <c r="A32" t="inlineStr">
        <is>
          <t>A 8906-2025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46248</v>
      </c>
      <c r="F32" t="inlineStr">
        <is>
          <t>HALLANDS LÄN</t>
        </is>
      </c>
      <c r="G32" t="inlineStr">
        <is>
          <t>VARBERG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Flytsvalting</t>
        </is>
      </c>
      <c r="W32">
        <f>HYPERLINK("https://klasma.github.io/Logging_1383/artfynd/A 8906-2025 artfynd.xlsx", "A 8906-2025")</f>
        <v/>
      </c>
      <c r="X32">
        <f>HYPERLINK("https://klasma.github.io/Logging_1383/kartor/A 8906-2025 karta.png", "A 8906-2025")</f>
        <v/>
      </c>
      <c r="Y32">
        <f>HYPERLINK("https://klasma.github.io/Logging_1383/kartor_geotiff/A 8906-2025 georefererad karta.tif", "A 8906-2025")</f>
        <v/>
      </c>
      <c r="AA32">
        <f>HYPERLINK("https://klasma.github.io/Logging_1383/klagomål/A 8906-2025 FSC-klagomål.docx", "A 8906-2025")</f>
        <v/>
      </c>
      <c r="AB32">
        <f>HYPERLINK("https://klasma.github.io/Logging_1383/klagomålsmail/A 8906-2025 FSC-klagomål mail.docx", "A 8906-2025")</f>
        <v/>
      </c>
      <c r="AC32">
        <f>HYPERLINK("https://klasma.github.io/Logging_1383/tillsyn/A 8906-2025 tillsynsbegäran.docx", "A 8906-2025")</f>
        <v/>
      </c>
      <c r="AD32">
        <f>HYPERLINK("https://klasma.github.io/Logging_1383/tillsynsmail/A 8906-2025 tillsynsbegäran mail.docx", "A 8906-2025")</f>
        <v/>
      </c>
    </row>
    <row r="33" ht="15" customHeight="1">
      <c r="A33" t="inlineStr">
        <is>
          <t>A 42724-2025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46248</v>
      </c>
      <c r="F33" t="inlineStr">
        <is>
          <t>HALLANDS LÄN</t>
        </is>
      </c>
      <c r="G33" t="inlineStr">
        <is>
          <t>VARBERG</t>
        </is>
      </c>
      <c r="I33" t="n">
        <v>4.2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Hasselmus</t>
        </is>
      </c>
      <c r="W33">
        <f>HYPERLINK("https://klasma.github.io/Logging_1383/artfynd/A 42724-2025 artfynd.xlsx", "A 42724-2025")</f>
        <v/>
      </c>
      <c r="X33">
        <f>HYPERLINK("https://klasma.github.io/Logging_1383/kartor/A 42724-2025 karta.png", "A 42724-2025")</f>
        <v/>
      </c>
      <c r="Y33">
        <f>HYPERLINK("https://klasma.github.io/Logging_1383/kartor_geotiff/A 42724-2025 georefererad karta.tif", "A 42724-2025")</f>
        <v/>
      </c>
      <c r="AA33">
        <f>HYPERLINK("https://klasma.github.io/Logging_1383/klagomål/A 42724-2025 FSC-klagomål.docx", "A 42724-2025")</f>
        <v/>
      </c>
      <c r="AB33">
        <f>HYPERLINK("https://klasma.github.io/Logging_1383/klagomålsmail/A 42724-2025 FSC-klagomål mail.docx", "A 42724-2025")</f>
        <v/>
      </c>
      <c r="AC33">
        <f>HYPERLINK("https://klasma.github.io/Logging_1383/tillsyn/A 42724-2025 tillsynsbegäran.docx", "A 42724-2025")</f>
        <v/>
      </c>
      <c r="AD33">
        <f>HYPERLINK("https://klasma.github.io/Logging_1383/tillsynsmail/A 42724-2025 tillsynsbegäran mail.docx", "A 42724-2025")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46248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46248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46248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46248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46248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46248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46248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46248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46248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46248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46248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46248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46248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46248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46248</v>
      </c>
      <c r="F48" t="inlineStr">
        <is>
          <t>HALLANDS LÄN</t>
        </is>
      </c>
      <c r="G48" t="inlineStr">
        <is>
          <t>VARBERG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46248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46248</v>
      </c>
      <c r="F50" t="inlineStr">
        <is>
          <t>HALLANDS LÄN</t>
        </is>
      </c>
      <c r="G50" t="inlineStr">
        <is>
          <t>VARBERG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46248</v>
      </c>
      <c r="F51" t="inlineStr">
        <is>
          <t>HALLANDS LÄN</t>
        </is>
      </c>
      <c r="G51" t="inlineStr">
        <is>
          <t>VARBERG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46248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4243-2022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46248</v>
      </c>
      <c r="F53" t="inlineStr">
        <is>
          <t>HALLANDS LÄN</t>
        </is>
      </c>
      <c r="G53" t="inlineStr">
        <is>
          <t>VARBERG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46248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46248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44834</v>
      </c>
      <c r="E56" s="1" t="n">
        <v>46248</v>
      </c>
      <c r="F56" t="inlineStr">
        <is>
          <t>HALLANDS LÄN</t>
        </is>
      </c>
      <c r="G56" t="inlineStr">
        <is>
          <t>VARBERG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46248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46248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46248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46248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46248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44684</v>
      </c>
      <c r="E62" s="1" t="n">
        <v>46248</v>
      </c>
      <c r="F62" t="inlineStr">
        <is>
          <t>HALLANDS LÄN</t>
        </is>
      </c>
      <c r="G62" t="inlineStr">
        <is>
          <t>VARBERG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46248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41152-2021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46248</v>
      </c>
      <c r="F64" t="inlineStr">
        <is>
          <t>HALLANDS LÄN</t>
        </is>
      </c>
      <c r="G64" t="inlineStr">
        <is>
          <t>VARBERG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46248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46248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46248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46248</v>
      </c>
      <c r="F68" t="inlineStr">
        <is>
          <t>HALLANDS LÄN</t>
        </is>
      </c>
      <c r="G68" t="inlineStr">
        <is>
          <t>VARBERG</t>
        </is>
      </c>
      <c r="I68" t="n">
        <v>8.6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46248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46248</v>
      </c>
      <c r="F70" t="inlineStr">
        <is>
          <t>HALLANDS LÄN</t>
        </is>
      </c>
      <c r="G70" t="inlineStr">
        <is>
          <t>VARBERG</t>
        </is>
      </c>
      <c r="I70" t="n">
        <v>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27652-2023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45097</v>
      </c>
      <c r="E71" s="1" t="n">
        <v>46248</v>
      </c>
      <c r="F71" t="inlineStr">
        <is>
          <t>HALLANDS LÄN</t>
        </is>
      </c>
      <c r="G71" t="inlineStr">
        <is>
          <t>VARBERG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27654-2023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46248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46248</v>
      </c>
      <c r="F73" t="inlineStr">
        <is>
          <t>HALLANDS LÄN</t>
        </is>
      </c>
      <c r="G73" t="inlineStr">
        <is>
          <t>VARBERG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46248</v>
      </c>
      <c r="F74" t="inlineStr">
        <is>
          <t>HALLANDS LÄN</t>
        </is>
      </c>
      <c r="G74" t="inlineStr">
        <is>
          <t>VARBERG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46248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45678</v>
      </c>
      <c r="E76" s="1" t="n">
        <v>46248</v>
      </c>
      <c r="F76" t="inlineStr">
        <is>
          <t>HALLANDS LÄN</t>
        </is>
      </c>
      <c r="G76" t="inlineStr">
        <is>
          <t>VARBERG</t>
        </is>
      </c>
      <c r="H76" t="inlineStr">
        <is>
          <t>Kyrkan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46248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46248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46248</v>
      </c>
      <c r="F79" t="inlineStr">
        <is>
          <t>HALLANDS LÄN</t>
        </is>
      </c>
      <c r="G79" t="inlineStr">
        <is>
          <t>VARBERG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46248</v>
      </c>
      <c r="F80" t="inlineStr">
        <is>
          <t>HALLANDS LÄN</t>
        </is>
      </c>
      <c r="G80" t="inlineStr">
        <is>
          <t>VARBERG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45574</v>
      </c>
      <c r="E81" s="1" t="n">
        <v>46248</v>
      </c>
      <c r="F81" t="inlineStr">
        <is>
          <t>HALLANDS LÄN</t>
        </is>
      </c>
      <c r="G81" t="inlineStr">
        <is>
          <t>VARBERG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45085</v>
      </c>
      <c r="E82" s="1" t="n">
        <v>46248</v>
      </c>
      <c r="F82" t="inlineStr">
        <is>
          <t>HALLANDS LÄN</t>
        </is>
      </c>
      <c r="G82" t="inlineStr">
        <is>
          <t>VARBERG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46248</v>
      </c>
      <c r="F83" t="inlineStr">
        <is>
          <t>HALLANDS LÄN</t>
        </is>
      </c>
      <c r="G83" t="inlineStr">
        <is>
          <t>VARBERG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46248</v>
      </c>
      <c r="F84" t="inlineStr">
        <is>
          <t>HALLANDS LÄN</t>
        </is>
      </c>
      <c r="G84" t="inlineStr">
        <is>
          <t>VARBERG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46248</v>
      </c>
      <c r="F85" t="inlineStr">
        <is>
          <t>HALLANDS LÄN</t>
        </is>
      </c>
      <c r="G85" t="inlineStr">
        <is>
          <t>VARBERG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46248</v>
      </c>
      <c r="F86" t="inlineStr">
        <is>
          <t>HALLANDS LÄN</t>
        </is>
      </c>
      <c r="G86" t="inlineStr">
        <is>
          <t>VARBERG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46248</v>
      </c>
      <c r="F87" t="inlineStr">
        <is>
          <t>HALLANDS LÄN</t>
        </is>
      </c>
      <c r="G87" t="inlineStr">
        <is>
          <t>VARBERG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46248</v>
      </c>
      <c r="F88" t="inlineStr">
        <is>
          <t>HALLANDS LÄN</t>
        </is>
      </c>
      <c r="G88" t="inlineStr">
        <is>
          <t>VARBERG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45275</v>
      </c>
      <c r="E89" s="1" t="n">
        <v>46248</v>
      </c>
      <c r="F89" t="inlineStr">
        <is>
          <t>HALLANDS LÄN</t>
        </is>
      </c>
      <c r="G89" t="inlineStr">
        <is>
          <t>VARBERG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46248</v>
      </c>
      <c r="F90" t="inlineStr">
        <is>
          <t>HALLANDS LÄN</t>
        </is>
      </c>
      <c r="G90" t="inlineStr">
        <is>
          <t>VARBERG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46248</v>
      </c>
      <c r="F91" t="inlineStr">
        <is>
          <t>HALLANDS LÄN</t>
        </is>
      </c>
      <c r="G91" t="inlineStr">
        <is>
          <t>VARBERG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64767-2023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45281</v>
      </c>
      <c r="E92" s="1" t="n">
        <v>46248</v>
      </c>
      <c r="F92" t="inlineStr">
        <is>
          <t>HALLANDS LÄN</t>
        </is>
      </c>
      <c r="G92" t="inlineStr">
        <is>
          <t>VARBERG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46248</v>
      </c>
      <c r="F93" t="inlineStr">
        <is>
          <t>HALLANDS LÄN</t>
        </is>
      </c>
      <c r="G93" t="inlineStr">
        <is>
          <t>VARBERG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46248</v>
      </c>
      <c r="F94" t="inlineStr">
        <is>
          <t>HALLANDS LÄN</t>
        </is>
      </c>
      <c r="G94" t="inlineStr">
        <is>
          <t>VARBERG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46248</v>
      </c>
      <c r="F95" t="inlineStr">
        <is>
          <t>HALLANDS LÄN</t>
        </is>
      </c>
      <c r="G95" t="inlineStr">
        <is>
          <t>VARBERG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2464-2024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45313</v>
      </c>
      <c r="E96" s="1" t="n">
        <v>46248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46248</v>
      </c>
      <c r="F97" t="inlineStr">
        <is>
          <t>HALLANDS LÄN</t>
        </is>
      </c>
      <c r="G97" t="inlineStr">
        <is>
          <t>VARBERG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46771-2022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44851</v>
      </c>
      <c r="E98" s="1" t="n">
        <v>46248</v>
      </c>
      <c r="F98" t="inlineStr">
        <is>
          <t>HALLANDS LÄN</t>
        </is>
      </c>
      <c r="G98" t="inlineStr">
        <is>
          <t>VARBERG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46248</v>
      </c>
      <c r="F99" t="inlineStr">
        <is>
          <t>HALLANDS LÄN</t>
        </is>
      </c>
      <c r="G99" t="inlineStr">
        <is>
          <t>VARBERG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45364</v>
      </c>
      <c r="E100" s="1" t="n">
        <v>46248</v>
      </c>
      <c r="F100" t="inlineStr">
        <is>
          <t>HALLANDS LÄN</t>
        </is>
      </c>
      <c r="G100" t="inlineStr">
        <is>
          <t>VARBERG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46248</v>
      </c>
      <c r="F101" t="inlineStr">
        <is>
          <t>HALLANDS LÄN</t>
        </is>
      </c>
      <c r="G101" t="inlineStr">
        <is>
          <t>VARBERG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44622</v>
      </c>
      <c r="E102" s="1" t="n">
        <v>46248</v>
      </c>
      <c r="F102" t="inlineStr">
        <is>
          <t>HALLANDS LÄN</t>
        </is>
      </c>
      <c r="G102" t="inlineStr">
        <is>
          <t>VARBERG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46248</v>
      </c>
      <c r="F103" t="inlineStr">
        <is>
          <t>HALLANDS LÄN</t>
        </is>
      </c>
      <c r="G103" t="inlineStr">
        <is>
          <t>VARBERG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46248</v>
      </c>
      <c r="F104" t="inlineStr">
        <is>
          <t>HALLANDS LÄN</t>
        </is>
      </c>
      <c r="G104" t="inlineStr">
        <is>
          <t>VARBERG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46248</v>
      </c>
      <c r="F105" t="inlineStr">
        <is>
          <t>HALLANDS LÄN</t>
        </is>
      </c>
      <c r="G105" t="inlineStr">
        <is>
          <t>VARBERG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46248</v>
      </c>
      <c r="F106" t="inlineStr">
        <is>
          <t>HALLANDS LÄN</t>
        </is>
      </c>
      <c r="G106" t="inlineStr">
        <is>
          <t>VARBERG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46248</v>
      </c>
      <c r="F107" t="inlineStr">
        <is>
          <t>HALLANDS LÄN</t>
        </is>
      </c>
      <c r="G107" t="inlineStr">
        <is>
          <t>VARBERG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46248</v>
      </c>
      <c r="F108" t="inlineStr">
        <is>
          <t>HALLANDS LÄN</t>
        </is>
      </c>
      <c r="G108" t="inlineStr">
        <is>
          <t>VARBERG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46248</v>
      </c>
      <c r="F109" t="inlineStr">
        <is>
          <t>HALLANDS LÄN</t>
        </is>
      </c>
      <c r="G109" t="inlineStr">
        <is>
          <t>VARBERG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45392</v>
      </c>
      <c r="E110" s="1" t="n">
        <v>46248</v>
      </c>
      <c r="F110" t="inlineStr">
        <is>
          <t>HALLANDS LÄN</t>
        </is>
      </c>
      <c r="G110" t="inlineStr">
        <is>
          <t>VARBERG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46248</v>
      </c>
      <c r="F111" t="inlineStr">
        <is>
          <t>HALLANDS LÄN</t>
        </is>
      </c>
      <c r="G111" t="inlineStr">
        <is>
          <t>VARBERG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44837</v>
      </c>
      <c r="E112" s="1" t="n">
        <v>46248</v>
      </c>
      <c r="F112" t="inlineStr">
        <is>
          <t>HALLANDS LÄN</t>
        </is>
      </c>
      <c r="G112" t="inlineStr">
        <is>
          <t>VARBERG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46248</v>
      </c>
      <c r="F113" t="inlineStr">
        <is>
          <t>HALLANDS LÄN</t>
        </is>
      </c>
      <c r="G113" t="inlineStr">
        <is>
          <t>VARBERG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46248</v>
      </c>
      <c r="F114" t="inlineStr">
        <is>
          <t>HALLANDS LÄN</t>
        </is>
      </c>
      <c r="G114" t="inlineStr">
        <is>
          <t>VARBERG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46248</v>
      </c>
      <c r="F115" t="inlineStr">
        <is>
          <t>HALLANDS LÄN</t>
        </is>
      </c>
      <c r="G115" t="inlineStr">
        <is>
          <t>VARBERG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46248</v>
      </c>
      <c r="F116" t="inlineStr">
        <is>
          <t>HALLANDS LÄN</t>
        </is>
      </c>
      <c r="G116" t="inlineStr">
        <is>
          <t>VARBERG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16899-2024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46248</v>
      </c>
      <c r="F117" t="inlineStr">
        <is>
          <t>HALLANDS LÄN</t>
        </is>
      </c>
      <c r="G117" t="inlineStr">
        <is>
          <t>VARBERG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46248</v>
      </c>
      <c r="F118" t="inlineStr">
        <is>
          <t>HALLANDS LÄN</t>
        </is>
      </c>
      <c r="G118" t="inlineStr">
        <is>
          <t>VARBERG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46248</v>
      </c>
      <c r="F119" t="inlineStr">
        <is>
          <t>HALLANDS LÄN</t>
        </is>
      </c>
      <c r="G119" t="inlineStr">
        <is>
          <t>VARBERG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46248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46248</v>
      </c>
      <c r="F121" t="inlineStr">
        <is>
          <t>HALLANDS LÄN</t>
        </is>
      </c>
      <c r="G121" t="inlineStr">
        <is>
          <t>VARBERG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45695</v>
      </c>
      <c r="E122" s="1" t="n">
        <v>46248</v>
      </c>
      <c r="F122" t="inlineStr">
        <is>
          <t>HALLANDS LÄN</t>
        </is>
      </c>
      <c r="G122" t="inlineStr">
        <is>
          <t>VARBERG</t>
        </is>
      </c>
      <c r="H122" t="inlineStr">
        <is>
          <t>Kyrkan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45509</v>
      </c>
      <c r="E123" s="1" t="n">
        <v>46248</v>
      </c>
      <c r="F123" t="inlineStr">
        <is>
          <t>HALLANDS LÄN</t>
        </is>
      </c>
      <c r="G123" t="inlineStr">
        <is>
          <t>VARBERG</t>
        </is>
      </c>
      <c r="H123" t="inlineStr">
        <is>
          <t>Kyrkan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46248</v>
      </c>
      <c r="F124" t="inlineStr">
        <is>
          <t>HALLANDS LÄN</t>
        </is>
      </c>
      <c r="G124" t="inlineStr">
        <is>
          <t>VARBERG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46248</v>
      </c>
      <c r="F125" t="inlineStr">
        <is>
          <t>HALLANDS LÄN</t>
        </is>
      </c>
      <c r="G125" t="inlineStr">
        <is>
          <t>VARBERG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46248</v>
      </c>
      <c r="F126" t="inlineStr">
        <is>
          <t>HALLANDS LÄN</t>
        </is>
      </c>
      <c r="G126" t="inlineStr">
        <is>
          <t>VARBERG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46248</v>
      </c>
      <c r="F127" t="inlineStr">
        <is>
          <t>HALLANDS LÄN</t>
        </is>
      </c>
      <c r="G127" t="inlineStr">
        <is>
          <t>VARBERG</t>
        </is>
      </c>
      <c r="H127" t="inlineStr">
        <is>
          <t>Kyrkan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46248</v>
      </c>
      <c r="F128" t="inlineStr">
        <is>
          <t>HALLANDS LÄN</t>
        </is>
      </c>
      <c r="G128" t="inlineStr">
        <is>
          <t>VARBERG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46248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44867</v>
      </c>
      <c r="E130" s="1" t="n">
        <v>46248</v>
      </c>
      <c r="F130" t="inlineStr">
        <is>
          <t>HALLANDS LÄN</t>
        </is>
      </c>
      <c r="G130" t="inlineStr">
        <is>
          <t>VARBERG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45302</v>
      </c>
      <c r="E131" s="1" t="n">
        <v>46248</v>
      </c>
      <c r="F131" t="inlineStr">
        <is>
          <t>HALLANDS LÄN</t>
        </is>
      </c>
      <c r="G131" t="inlineStr">
        <is>
          <t>VARBERG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46248</v>
      </c>
      <c r="F132" t="inlineStr">
        <is>
          <t>HALLANDS LÄN</t>
        </is>
      </c>
      <c r="G132" t="inlineStr">
        <is>
          <t>VARBERG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45574</v>
      </c>
      <c r="E133" s="1" t="n">
        <v>46248</v>
      </c>
      <c r="F133" t="inlineStr">
        <is>
          <t>HALLANDS LÄN</t>
        </is>
      </c>
      <c r="G133" t="inlineStr">
        <is>
          <t>VARBERG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46248</v>
      </c>
      <c r="F134" t="inlineStr">
        <is>
          <t>HALLANDS LÄN</t>
        </is>
      </c>
      <c r="G134" t="inlineStr">
        <is>
          <t>VARBERG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46248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46248</v>
      </c>
      <c r="F136" t="inlineStr">
        <is>
          <t>HALLANDS LÄN</t>
        </is>
      </c>
      <c r="G136" t="inlineStr">
        <is>
          <t>VARBERG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13782-2022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44649</v>
      </c>
      <c r="E137" s="1" t="n">
        <v>46248</v>
      </c>
      <c r="F137" t="inlineStr">
        <is>
          <t>HALLANDS LÄN</t>
        </is>
      </c>
      <c r="G137" t="inlineStr">
        <is>
          <t>VARBERG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46248</v>
      </c>
      <c r="F138" t="inlineStr">
        <is>
          <t>HALLANDS LÄN</t>
        </is>
      </c>
      <c r="G138" t="inlineStr">
        <is>
          <t>VARBERG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45055</v>
      </c>
      <c r="E139" s="1" t="n">
        <v>46248</v>
      </c>
      <c r="F139" t="inlineStr">
        <is>
          <t>HALLANDS LÄN</t>
        </is>
      </c>
      <c r="G139" t="inlineStr">
        <is>
          <t>VARBERG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46248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46248</v>
      </c>
      <c r="F141" t="inlineStr">
        <is>
          <t>HALLANDS LÄN</t>
        </is>
      </c>
      <c r="G141" t="inlineStr">
        <is>
          <t>VARBERG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45436</v>
      </c>
      <c r="E142" s="1" t="n">
        <v>46248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45328</v>
      </c>
      <c r="E143" s="1" t="n">
        <v>46248</v>
      </c>
      <c r="F143" t="inlineStr">
        <is>
          <t>HALLANDS LÄN</t>
        </is>
      </c>
      <c r="G143" t="inlineStr">
        <is>
          <t>VARBERG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46248</v>
      </c>
      <c r="F144" t="inlineStr">
        <is>
          <t>HALLANDS LÄN</t>
        </is>
      </c>
      <c r="G144" t="inlineStr">
        <is>
          <t>VARBERG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44980</v>
      </c>
      <c r="E145" s="1" t="n">
        <v>46248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45487</v>
      </c>
      <c r="E146" s="1" t="n">
        <v>46248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46248</v>
      </c>
      <c r="F147" t="inlineStr">
        <is>
          <t>HALLANDS LÄN</t>
        </is>
      </c>
      <c r="G147" t="inlineStr">
        <is>
          <t>VARBERG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44615</v>
      </c>
      <c r="E148" s="1" t="n">
        <v>46248</v>
      </c>
      <c r="F148" t="inlineStr">
        <is>
          <t>HALLANDS LÄN</t>
        </is>
      </c>
      <c r="G148" t="inlineStr">
        <is>
          <t>VARBERG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46248</v>
      </c>
      <c r="F149" t="inlineStr">
        <is>
          <t>HALLANDS LÄN</t>
        </is>
      </c>
      <c r="G149" t="inlineStr">
        <is>
          <t>VARBERG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45140</v>
      </c>
      <c r="E150" s="1" t="n">
        <v>46248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46248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46248</v>
      </c>
      <c r="F152" t="inlineStr">
        <is>
          <t>HALLANDS LÄN</t>
        </is>
      </c>
      <c r="G152" t="inlineStr">
        <is>
          <t>VARBERG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44441</v>
      </c>
      <c r="E153" s="1" t="n">
        <v>46248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46248</v>
      </c>
      <c r="F154" t="inlineStr">
        <is>
          <t>HALLANDS LÄN</t>
        </is>
      </c>
      <c r="G154" t="inlineStr">
        <is>
          <t>VARBERG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46248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46248</v>
      </c>
      <c r="F156" t="inlineStr">
        <is>
          <t>HALLANDS LÄN</t>
        </is>
      </c>
      <c r="G156" t="inlineStr">
        <is>
          <t>VARBERG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46248</v>
      </c>
      <c r="F157" t="inlineStr">
        <is>
          <t>HALLANDS LÄN</t>
        </is>
      </c>
      <c r="G157" t="inlineStr">
        <is>
          <t>VARBERG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64488-2021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46248</v>
      </c>
      <c r="F158" t="inlineStr">
        <is>
          <t>HALLANDS LÄN</t>
        </is>
      </c>
      <c r="G158" t="inlineStr">
        <is>
          <t>VARBERG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44447</v>
      </c>
      <c r="E159" s="1" t="n">
        <v>46248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46248</v>
      </c>
      <c r="F160" t="inlineStr">
        <is>
          <t>HALLANDS LÄN</t>
        </is>
      </c>
      <c r="G160" t="inlineStr">
        <is>
          <t>VARBERG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46248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45400</v>
      </c>
      <c r="E162" s="1" t="n">
        <v>46248</v>
      </c>
      <c r="F162" t="inlineStr">
        <is>
          <t>HALLANDS LÄN</t>
        </is>
      </c>
      <c r="G162" t="inlineStr">
        <is>
          <t>VARBERG</t>
        </is>
      </c>
      <c r="H162" t="inlineStr">
        <is>
          <t>Kyrkan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46248</v>
      </c>
      <c r="F163" t="inlineStr">
        <is>
          <t>HALLANDS LÄN</t>
        </is>
      </c>
      <c r="G163" t="inlineStr">
        <is>
          <t>VARBERG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46248</v>
      </c>
      <c r="F164" t="inlineStr">
        <is>
          <t>HALLANDS LÄN</t>
        </is>
      </c>
      <c r="G164" t="inlineStr">
        <is>
          <t>VARBERG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46248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46248</v>
      </c>
      <c r="F166" t="inlineStr">
        <is>
          <t>HALLANDS LÄN</t>
        </is>
      </c>
      <c r="G166" t="inlineStr">
        <is>
          <t>VARBERG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44649</v>
      </c>
      <c r="E167" s="1" t="n">
        <v>46248</v>
      </c>
      <c r="F167" t="inlineStr">
        <is>
          <t>HALLANDS LÄN</t>
        </is>
      </c>
      <c r="G167" t="inlineStr">
        <is>
          <t>VARBERG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46248</v>
      </c>
      <c r="F168" t="inlineStr">
        <is>
          <t>HALLANDS LÄN</t>
        </is>
      </c>
      <c r="G168" t="inlineStr">
        <is>
          <t>VARBERG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46248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46248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46248</v>
      </c>
      <c r="F171" t="inlineStr">
        <is>
          <t>HALLANDS LÄN</t>
        </is>
      </c>
      <c r="G171" t="inlineStr">
        <is>
          <t>VARBERG</t>
        </is>
      </c>
      <c r="I171" t="n">
        <v>9.9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44659</v>
      </c>
      <c r="E172" s="1" t="n">
        <v>46248</v>
      </c>
      <c r="F172" t="inlineStr">
        <is>
          <t>HALLANDS LÄN</t>
        </is>
      </c>
      <c r="G172" t="inlineStr">
        <is>
          <t>VARBERG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61075-2023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45261</v>
      </c>
      <c r="E173" s="1" t="n">
        <v>46248</v>
      </c>
      <c r="F173" t="inlineStr">
        <is>
          <t>HALLANDS LÄN</t>
        </is>
      </c>
      <c r="G173" t="inlineStr">
        <is>
          <t>VARBERG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9819-2022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44620</v>
      </c>
      <c r="E174" s="1" t="n">
        <v>46248</v>
      </c>
      <c r="F174" t="inlineStr">
        <is>
          <t>HALLANDS LÄN</t>
        </is>
      </c>
      <c r="G174" t="inlineStr">
        <is>
          <t>VARBERG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46248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45182</v>
      </c>
      <c r="E176" s="1" t="n">
        <v>46248</v>
      </c>
      <c r="F176" t="inlineStr">
        <is>
          <t>HALLANDS LÄN</t>
        </is>
      </c>
      <c r="G176" t="inlineStr">
        <is>
          <t>VARBERG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44595</v>
      </c>
      <c r="E177" s="1" t="n">
        <v>46248</v>
      </c>
      <c r="F177" t="inlineStr">
        <is>
          <t>HALLANDS LÄN</t>
        </is>
      </c>
      <c r="G177" t="inlineStr">
        <is>
          <t>VARBERG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46248</v>
      </c>
      <c r="F178" t="inlineStr">
        <is>
          <t>HALLANDS LÄN</t>
        </is>
      </c>
      <c r="G178" t="inlineStr">
        <is>
          <t>VARBERG</t>
        </is>
      </c>
      <c r="H178" t="inlineStr">
        <is>
          <t>Övriga statliga verk och myndigheter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46248</v>
      </c>
      <c r="F179" t="inlineStr">
        <is>
          <t>HALLANDS LÄN</t>
        </is>
      </c>
      <c r="G179" t="inlineStr">
        <is>
          <t>VARBERG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45469</v>
      </c>
      <c r="E180" s="1" t="n">
        <v>46248</v>
      </c>
      <c r="F180" t="inlineStr">
        <is>
          <t>HALLANDS LÄN</t>
        </is>
      </c>
      <c r="G180" t="inlineStr">
        <is>
          <t>VARBERG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45397</v>
      </c>
      <c r="E181" s="1" t="n">
        <v>46248</v>
      </c>
      <c r="F181" t="inlineStr">
        <is>
          <t>HALLANDS LÄN</t>
        </is>
      </c>
      <c r="G181" t="inlineStr">
        <is>
          <t>VARBERG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46248</v>
      </c>
      <c r="F182" t="inlineStr">
        <is>
          <t>HALLANDS LÄN</t>
        </is>
      </c>
      <c r="G182" t="inlineStr">
        <is>
          <t>VARBERG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46248</v>
      </c>
      <c r="F183" t="inlineStr">
        <is>
          <t>HALLANDS LÄN</t>
        </is>
      </c>
      <c r="G183" t="inlineStr">
        <is>
          <t>VARBERG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46248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45722</v>
      </c>
      <c r="E185" s="1" t="n">
        <v>46248</v>
      </c>
      <c r="F185" t="inlineStr">
        <is>
          <t>HALLANDS LÄN</t>
        </is>
      </c>
      <c r="G185" t="inlineStr">
        <is>
          <t>VARBERG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46248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46248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46248</v>
      </c>
      <c r="F188" t="inlineStr">
        <is>
          <t>HALLANDS LÄN</t>
        </is>
      </c>
      <c r="G188" t="inlineStr">
        <is>
          <t>VARBERG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44985</v>
      </c>
      <c r="E189" s="1" t="n">
        <v>46248</v>
      </c>
      <c r="F189" t="inlineStr">
        <is>
          <t>HALLANDS LÄN</t>
        </is>
      </c>
      <c r="G189" t="inlineStr">
        <is>
          <t>VARBERG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44641</v>
      </c>
      <c r="E190" s="1" t="n">
        <v>46248</v>
      </c>
      <c r="F190" t="inlineStr">
        <is>
          <t>HALLANDS LÄN</t>
        </is>
      </c>
      <c r="G190" t="inlineStr">
        <is>
          <t>VARBERG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54248-2021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44470</v>
      </c>
      <c r="E191" s="1" t="n">
        <v>46248</v>
      </c>
      <c r="F191" t="inlineStr">
        <is>
          <t>HALLANDS LÄN</t>
        </is>
      </c>
      <c r="G191" t="inlineStr">
        <is>
          <t>VARBERG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45323</v>
      </c>
      <c r="E192" s="1" t="n">
        <v>46248</v>
      </c>
      <c r="F192" t="inlineStr">
        <is>
          <t>HALLANDS LÄN</t>
        </is>
      </c>
      <c r="G192" t="inlineStr">
        <is>
          <t>VARBERG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46248</v>
      </c>
      <c r="F193" t="inlineStr">
        <is>
          <t>HALLANDS LÄN</t>
        </is>
      </c>
      <c r="G193" t="inlineStr">
        <is>
          <t>VARBERG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46248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45246</v>
      </c>
      <c r="E195" s="1" t="n">
        <v>46248</v>
      </c>
      <c r="F195" t="inlineStr">
        <is>
          <t>HALLANDS LÄN</t>
        </is>
      </c>
      <c r="G195" t="inlineStr">
        <is>
          <t>VARBERG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46248</v>
      </c>
      <c r="F196" t="inlineStr">
        <is>
          <t>HALLANDS LÄN</t>
        </is>
      </c>
      <c r="G196" t="inlineStr">
        <is>
          <t>VARBERG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46248</v>
      </c>
      <c r="F197" t="inlineStr">
        <is>
          <t>HALLANDS LÄN</t>
        </is>
      </c>
      <c r="G197" t="inlineStr">
        <is>
          <t>VARBERG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46248</v>
      </c>
      <c r="F198" t="inlineStr">
        <is>
          <t>HALLANDS LÄN</t>
        </is>
      </c>
      <c r="G198" t="inlineStr">
        <is>
          <t>VARBERG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45422</v>
      </c>
      <c r="E199" s="1" t="n">
        <v>46248</v>
      </c>
      <c r="F199" t="inlineStr">
        <is>
          <t>HALLANDS LÄN</t>
        </is>
      </c>
      <c r="G199" t="inlineStr">
        <is>
          <t>VARBERG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44890</v>
      </c>
      <c r="E200" s="1" t="n">
        <v>46248</v>
      </c>
      <c r="F200" t="inlineStr">
        <is>
          <t>HALLANDS LÄN</t>
        </is>
      </c>
      <c r="G200" t="inlineStr">
        <is>
          <t>VARBERG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46248</v>
      </c>
      <c r="F201" t="inlineStr">
        <is>
          <t>HALLANDS LÄN</t>
        </is>
      </c>
      <c r="G201" t="inlineStr">
        <is>
          <t>VARBERG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46248</v>
      </c>
      <c r="F202" t="inlineStr">
        <is>
          <t>HALLANDS LÄN</t>
        </is>
      </c>
      <c r="G202" t="inlineStr">
        <is>
          <t>VARBERG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45401</v>
      </c>
      <c r="E203" s="1" t="n">
        <v>46248</v>
      </c>
      <c r="F203" t="inlineStr">
        <is>
          <t>HALLANDS LÄN</t>
        </is>
      </c>
      <c r="G203" t="inlineStr">
        <is>
          <t>VARBERG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46248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44811</v>
      </c>
      <c r="E205" s="1" t="n">
        <v>46248</v>
      </c>
      <c r="F205" t="inlineStr">
        <is>
          <t>HALLANDS LÄN</t>
        </is>
      </c>
      <c r="G205" t="inlineStr">
        <is>
          <t>VARBERG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46248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45140</v>
      </c>
      <c r="E207" s="1" t="n">
        <v>46248</v>
      </c>
      <c r="F207" t="inlineStr">
        <is>
          <t>HALLANDS LÄN</t>
        </is>
      </c>
      <c r="G207" t="inlineStr">
        <is>
          <t>VARBERG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45734</v>
      </c>
      <c r="E208" s="1" t="n">
        <v>46248</v>
      </c>
      <c r="F208" t="inlineStr">
        <is>
          <t>HALLANDS LÄN</t>
        </is>
      </c>
      <c r="G208" t="inlineStr">
        <is>
          <t>VARBERG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45717</v>
      </c>
      <c r="E209" s="1" t="n">
        <v>46248</v>
      </c>
      <c r="F209" t="inlineStr">
        <is>
          <t>HALLANDS LÄN</t>
        </is>
      </c>
      <c r="G209" t="inlineStr">
        <is>
          <t>VARBERG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46248</v>
      </c>
      <c r="F210" t="inlineStr">
        <is>
          <t>HALLANDS LÄN</t>
        </is>
      </c>
      <c r="G210" t="inlineStr">
        <is>
          <t>VARBERG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45302</v>
      </c>
      <c r="E211" s="1" t="n">
        <v>46248</v>
      </c>
      <c r="F211" t="inlineStr">
        <is>
          <t>HALLANDS LÄN</t>
        </is>
      </c>
      <c r="G211" t="inlineStr">
        <is>
          <t>VARBERG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45014</v>
      </c>
      <c r="E212" s="1" t="n">
        <v>46248</v>
      </c>
      <c r="F212" t="inlineStr">
        <is>
          <t>HALLANDS LÄN</t>
        </is>
      </c>
      <c r="G212" t="inlineStr">
        <is>
          <t>VARBERG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46248</v>
      </c>
      <c r="F213" t="inlineStr">
        <is>
          <t>HALLANDS LÄN</t>
        </is>
      </c>
      <c r="G213" t="inlineStr">
        <is>
          <t>VARBERG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46248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45058</v>
      </c>
      <c r="E215" s="1" t="n">
        <v>46248</v>
      </c>
      <c r="F215" t="inlineStr">
        <is>
          <t>HALLANDS LÄN</t>
        </is>
      </c>
      <c r="G215" t="inlineStr">
        <is>
          <t>VARBERG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46248</v>
      </c>
      <c r="F216" t="inlineStr">
        <is>
          <t>HALLANDS LÄN</t>
        </is>
      </c>
      <c r="G216" t="inlineStr">
        <is>
          <t>VARBERG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44902</v>
      </c>
      <c r="E217" s="1" t="n">
        <v>46248</v>
      </c>
      <c r="F217" t="inlineStr">
        <is>
          <t>HALLANDS LÄN</t>
        </is>
      </c>
      <c r="G217" t="inlineStr">
        <is>
          <t>VARBERG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46248</v>
      </c>
      <c r="F218" t="inlineStr">
        <is>
          <t>HALLANDS LÄN</t>
        </is>
      </c>
      <c r="G218" t="inlineStr">
        <is>
          <t>VARBERG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46248</v>
      </c>
      <c r="F219" t="inlineStr">
        <is>
          <t>HALLANDS LÄN</t>
        </is>
      </c>
      <c r="G219" t="inlineStr">
        <is>
          <t>VARBERG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45007</v>
      </c>
      <c r="E220" s="1" t="n">
        <v>46248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8263-2023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44974</v>
      </c>
      <c r="E221" s="1" t="n">
        <v>46248</v>
      </c>
      <c r="F221" t="inlineStr">
        <is>
          <t>HALLANDS LÄN</t>
        </is>
      </c>
      <c r="G221" t="inlineStr">
        <is>
          <t>VARBERG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46248</v>
      </c>
      <c r="F222" t="inlineStr">
        <is>
          <t>HALLANDS LÄN</t>
        </is>
      </c>
      <c r="G222" t="inlineStr">
        <is>
          <t>VARBERG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50199-2021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44457</v>
      </c>
      <c r="E223" s="1" t="n">
        <v>46248</v>
      </c>
      <c r="F223" t="inlineStr">
        <is>
          <t>HALLANDS LÄN</t>
        </is>
      </c>
      <c r="G223" t="inlineStr">
        <is>
          <t>VARBERG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45736</v>
      </c>
      <c r="E224" s="1" t="n">
        <v>46248</v>
      </c>
      <c r="F224" t="inlineStr">
        <is>
          <t>HALLANDS LÄN</t>
        </is>
      </c>
      <c r="G224" t="inlineStr">
        <is>
          <t>VARBERG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46248</v>
      </c>
      <c r="F225" t="inlineStr">
        <is>
          <t>HALLANDS LÄN</t>
        </is>
      </c>
      <c r="G225" t="inlineStr">
        <is>
          <t>VARBERG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10229-2023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44980</v>
      </c>
      <c r="E226" s="1" t="n">
        <v>46248</v>
      </c>
      <c r="F226" t="inlineStr">
        <is>
          <t>HALLANDS LÄN</t>
        </is>
      </c>
      <c r="G226" t="inlineStr">
        <is>
          <t>VARBERG</t>
        </is>
      </c>
      <c r="H226" t="inlineStr">
        <is>
          <t>Övriga statliga verk och myndigheter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46248</v>
      </c>
      <c r="F227" t="inlineStr">
        <is>
          <t>HALLANDS LÄN</t>
        </is>
      </c>
      <c r="G227" t="inlineStr">
        <is>
          <t>VARBERG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44644</v>
      </c>
      <c r="E228" s="1" t="n">
        <v>46248</v>
      </c>
      <c r="F228" t="inlineStr">
        <is>
          <t>HALLANDS LÄN</t>
        </is>
      </c>
      <c r="G228" t="inlineStr">
        <is>
          <t>VARBERG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44649</v>
      </c>
      <c r="E229" s="1" t="n">
        <v>46248</v>
      </c>
      <c r="F229" t="inlineStr">
        <is>
          <t>HALLANDS LÄN</t>
        </is>
      </c>
      <c r="G229" t="inlineStr">
        <is>
          <t>VARBERG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46248</v>
      </c>
      <c r="F230" t="inlineStr">
        <is>
          <t>HALLANDS LÄN</t>
        </is>
      </c>
      <c r="G230" t="inlineStr">
        <is>
          <t>VARBERG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44649</v>
      </c>
      <c r="E231" s="1" t="n">
        <v>46248</v>
      </c>
      <c r="F231" t="inlineStr">
        <is>
          <t>HALLANDS LÄN</t>
        </is>
      </c>
      <c r="G231" t="inlineStr">
        <is>
          <t>VARBERG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45708</v>
      </c>
      <c r="E232" s="1" t="n">
        <v>46248</v>
      </c>
      <c r="F232" t="inlineStr">
        <is>
          <t>HALLANDS LÄN</t>
        </is>
      </c>
      <c r="G232" t="inlineStr">
        <is>
          <t>VARBERG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46248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46248</v>
      </c>
      <c r="F234" t="inlineStr">
        <is>
          <t>HALLANDS LÄN</t>
        </is>
      </c>
      <c r="G234" t="inlineStr">
        <is>
          <t>VARBERG</t>
        </is>
      </c>
      <c r="H234" t="inlineStr">
        <is>
          <t>Kyrkan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46248</v>
      </c>
      <c r="F235" t="inlineStr">
        <is>
          <t>HALLANDS LÄN</t>
        </is>
      </c>
      <c r="G235" t="inlineStr">
        <is>
          <t>VARBERG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46248</v>
      </c>
      <c r="F236" t="inlineStr">
        <is>
          <t>HALLANDS LÄN</t>
        </is>
      </c>
      <c r="G236" t="inlineStr">
        <is>
          <t>VARBERG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46248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44886</v>
      </c>
      <c r="E238" s="1" t="n">
        <v>46248</v>
      </c>
      <c r="F238" t="inlineStr">
        <is>
          <t>HALLANDS LÄN</t>
        </is>
      </c>
      <c r="G238" t="inlineStr">
        <is>
          <t>VARBERG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46248</v>
      </c>
      <c r="F239" t="inlineStr">
        <is>
          <t>HALLANDS LÄN</t>
        </is>
      </c>
      <c r="G239" t="inlineStr">
        <is>
          <t>VARBERG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44628</v>
      </c>
      <c r="E240" s="1" t="n">
        <v>46248</v>
      </c>
      <c r="F240" t="inlineStr">
        <is>
          <t>HALLANDS LÄN</t>
        </is>
      </c>
      <c r="G240" t="inlineStr">
        <is>
          <t>VARBERG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46248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46248</v>
      </c>
      <c r="F242" t="inlineStr">
        <is>
          <t>HALLANDS LÄN</t>
        </is>
      </c>
      <c r="G242" t="inlineStr">
        <is>
          <t>VARBERG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46248</v>
      </c>
      <c r="F243" t="inlineStr">
        <is>
          <t>HALLANDS LÄN</t>
        </is>
      </c>
      <c r="G243" t="inlineStr">
        <is>
          <t>VARBERG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46248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46248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46248</v>
      </c>
      <c r="F246" t="inlineStr">
        <is>
          <t>HALLANDS LÄN</t>
        </is>
      </c>
      <c r="G246" t="inlineStr">
        <is>
          <t>VARBERG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46248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46248</v>
      </c>
      <c r="F248" t="inlineStr">
        <is>
          <t>HALLANDS LÄN</t>
        </is>
      </c>
      <c r="G248" t="inlineStr">
        <is>
          <t>VARBERG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46248</v>
      </c>
      <c r="F249" t="inlineStr">
        <is>
          <t>HALLANDS LÄN</t>
        </is>
      </c>
      <c r="G249" t="inlineStr">
        <is>
          <t>VARBERG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44657</v>
      </c>
      <c r="E250" s="1" t="n">
        <v>46248</v>
      </c>
      <c r="F250" t="inlineStr">
        <is>
          <t>HALLANDS LÄN</t>
        </is>
      </c>
      <c r="G250" t="inlineStr">
        <is>
          <t>VARBERG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46248</v>
      </c>
      <c r="F251" t="inlineStr">
        <is>
          <t>HALLANDS LÄN</t>
        </is>
      </c>
      <c r="G251" t="inlineStr">
        <is>
          <t>VARBERG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46248</v>
      </c>
      <c r="F252" t="inlineStr">
        <is>
          <t>HALLANDS LÄN</t>
        </is>
      </c>
      <c r="G252" t="inlineStr">
        <is>
          <t>VARBERG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46248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46248</v>
      </c>
      <c r="F254" t="inlineStr">
        <is>
          <t>HALLANDS LÄN</t>
        </is>
      </c>
      <c r="G254" t="inlineStr">
        <is>
          <t>VARBERG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45804</v>
      </c>
      <c r="E255" s="1" t="n">
        <v>46248</v>
      </c>
      <c r="F255" t="inlineStr">
        <is>
          <t>HALLANDS LÄN</t>
        </is>
      </c>
      <c r="G255" t="inlineStr">
        <is>
          <t>VARBERG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26117-2025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45805</v>
      </c>
      <c r="E256" s="1" t="n">
        <v>46248</v>
      </c>
      <c r="F256" t="inlineStr">
        <is>
          <t>HALLANDS LÄN</t>
        </is>
      </c>
      <c r="G256" t="inlineStr">
        <is>
          <t>VARBERG</t>
        </is>
      </c>
      <c r="H256" t="inlineStr">
        <is>
          <t>Kommuner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46248</v>
      </c>
      <c r="F257" t="inlineStr">
        <is>
          <t>HALLANDS LÄN</t>
        </is>
      </c>
      <c r="G257" t="inlineStr">
        <is>
          <t>VARBERG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46248</v>
      </c>
      <c r="F258" t="inlineStr">
        <is>
          <t>HALLANDS LÄN</t>
        </is>
      </c>
      <c r="G258" t="inlineStr">
        <is>
          <t>VARBERG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46248</v>
      </c>
      <c r="F259" t="inlineStr">
        <is>
          <t>HALLANDS LÄN</t>
        </is>
      </c>
      <c r="G259" t="inlineStr">
        <is>
          <t>VARBERG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46248</v>
      </c>
      <c r="F260" t="inlineStr">
        <is>
          <t>HALLANDS LÄN</t>
        </is>
      </c>
      <c r="G260" t="inlineStr">
        <is>
          <t>VARBERG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45013</v>
      </c>
      <c r="E261" s="1" t="n">
        <v>46248</v>
      </c>
      <c r="F261" t="inlineStr">
        <is>
          <t>HALLANDS LÄN</t>
        </is>
      </c>
      <c r="G261" t="inlineStr">
        <is>
          <t>VARBERG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28092-2024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45476</v>
      </c>
      <c r="E262" s="1" t="n">
        <v>46248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45352</v>
      </c>
      <c r="E263" s="1" t="n">
        <v>46248</v>
      </c>
      <c r="F263" t="inlineStr">
        <is>
          <t>HALLANDS LÄN</t>
        </is>
      </c>
      <c r="G263" t="inlineStr">
        <is>
          <t>VARBERG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44970</v>
      </c>
      <c r="E264" s="1" t="n">
        <v>46248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45177</v>
      </c>
      <c r="E265" s="1" t="n">
        <v>46248</v>
      </c>
      <c r="F265" t="inlineStr">
        <is>
          <t>HALLANDS LÄN</t>
        </is>
      </c>
      <c r="G265" t="inlineStr">
        <is>
          <t>VARBERG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44607</v>
      </c>
      <c r="E266" s="1" t="n">
        <v>46248</v>
      </c>
      <c r="F266" t="inlineStr">
        <is>
          <t>HALLANDS LÄN</t>
        </is>
      </c>
      <c r="G266" t="inlineStr">
        <is>
          <t>VARBERG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46248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45320</v>
      </c>
      <c r="E268" s="1" t="n">
        <v>46248</v>
      </c>
      <c r="F268" t="inlineStr">
        <is>
          <t>HALLANDS LÄN</t>
        </is>
      </c>
      <c r="G268" t="inlineStr">
        <is>
          <t>VARBERG</t>
        </is>
      </c>
      <c r="H268" t="inlineStr">
        <is>
          <t>Övriga statliga verk och myndigheter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51932-2024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45607</v>
      </c>
      <c r="E269" s="1" t="n">
        <v>46248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46248</v>
      </c>
      <c r="F270" t="inlineStr">
        <is>
          <t>HALLANDS LÄN</t>
        </is>
      </c>
      <c r="G270" t="inlineStr">
        <is>
          <t>VARBERG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46248</v>
      </c>
      <c r="F271" t="inlineStr">
        <is>
          <t>HALLANDS LÄN</t>
        </is>
      </c>
      <c r="G271" t="inlineStr">
        <is>
          <t>VARBERG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45825</v>
      </c>
      <c r="E272" s="1" t="n">
        <v>46248</v>
      </c>
      <c r="F272" t="inlineStr">
        <is>
          <t>HALLANDS LÄN</t>
        </is>
      </c>
      <c r="G272" t="inlineStr">
        <is>
          <t>VARBERG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46248</v>
      </c>
      <c r="F273" t="inlineStr">
        <is>
          <t>HALLANDS LÄN</t>
        </is>
      </c>
      <c r="G273" t="inlineStr">
        <is>
          <t>VARBERG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46248</v>
      </c>
      <c r="F274" t="inlineStr">
        <is>
          <t>HALLANDS LÄN</t>
        </is>
      </c>
      <c r="G274" t="inlineStr">
        <is>
          <t>VARBERG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46248</v>
      </c>
      <c r="F275" t="inlineStr">
        <is>
          <t>HALLANDS LÄN</t>
        </is>
      </c>
      <c r="G275" t="inlineStr">
        <is>
          <t>VARBERG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45722</v>
      </c>
      <c r="E276" s="1" t="n">
        <v>46248</v>
      </c>
      <c r="F276" t="inlineStr">
        <is>
          <t>HALLANDS LÄN</t>
        </is>
      </c>
      <c r="G276" t="inlineStr">
        <is>
          <t>VARBERG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46248</v>
      </c>
      <c r="F277" t="inlineStr">
        <is>
          <t>HALLANDS LÄN</t>
        </is>
      </c>
      <c r="G277" t="inlineStr">
        <is>
          <t>VARBERG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46248</v>
      </c>
      <c r="F278" t="inlineStr">
        <is>
          <t>HALLANDS LÄN</t>
        </is>
      </c>
      <c r="G278" t="inlineStr">
        <is>
          <t>VARBERG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45432</v>
      </c>
      <c r="E279" s="1" t="n">
        <v>46248</v>
      </c>
      <c r="F279" t="inlineStr">
        <is>
          <t>HALLANDS LÄN</t>
        </is>
      </c>
      <c r="G279" t="inlineStr">
        <is>
          <t>VARBERG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46248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46248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46248</v>
      </c>
      <c r="F282" t="inlineStr">
        <is>
          <t>HALLANDS LÄN</t>
        </is>
      </c>
      <c r="G282" t="inlineStr">
        <is>
          <t>VARBERG</t>
        </is>
      </c>
      <c r="H282" t="inlineStr">
        <is>
          <t>Övriga statliga verk och myndigheter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46248</v>
      </c>
      <c r="F283" t="inlineStr">
        <is>
          <t>HALLANDS LÄN</t>
        </is>
      </c>
      <c r="G283" t="inlineStr">
        <is>
          <t>VARBERG</t>
        </is>
      </c>
      <c r="H283" t="inlineStr">
        <is>
          <t>Övriga statliga verk och myndigheter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46248</v>
      </c>
      <c r="F284" t="inlineStr">
        <is>
          <t>HALLANDS LÄN</t>
        </is>
      </c>
      <c r="G284" t="inlineStr">
        <is>
          <t>VARBERG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45086</v>
      </c>
      <c r="E285" s="1" t="n">
        <v>46248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45580</v>
      </c>
      <c r="E286" s="1" t="n">
        <v>46248</v>
      </c>
      <c r="F286" t="inlineStr">
        <is>
          <t>HALLANDS LÄN</t>
        </is>
      </c>
      <c r="G286" t="inlineStr">
        <is>
          <t>VARBERG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46248</v>
      </c>
      <c r="F287" t="inlineStr">
        <is>
          <t>HALLANDS LÄN</t>
        </is>
      </c>
      <c r="G287" t="inlineStr">
        <is>
          <t>VARBERG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46248</v>
      </c>
      <c r="F288" t="inlineStr">
        <is>
          <t>HALLANDS LÄN</t>
        </is>
      </c>
      <c r="G288" t="inlineStr">
        <is>
          <t>VARBERG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35018-2025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45851</v>
      </c>
      <c r="E289" s="1" t="n">
        <v>46248</v>
      </c>
      <c r="F289" t="inlineStr">
        <is>
          <t>HALLANDS LÄN</t>
        </is>
      </c>
      <c r="G289" t="inlineStr">
        <is>
          <t>VARBERG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46248</v>
      </c>
      <c r="F290" t="inlineStr">
        <is>
          <t>HALLANDS LÄN</t>
        </is>
      </c>
      <c r="G290" t="inlineStr">
        <is>
          <t>VARBERG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46248</v>
      </c>
      <c r="F291" t="inlineStr">
        <is>
          <t>HALLANDS LÄN</t>
        </is>
      </c>
      <c r="G291" t="inlineStr">
        <is>
          <t>VARBERG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46248</v>
      </c>
      <c r="F292" t="inlineStr">
        <is>
          <t>HALLANDS LÄN</t>
        </is>
      </c>
      <c r="G292" t="inlineStr">
        <is>
          <t>VARBERG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45852</v>
      </c>
      <c r="E293" s="1" t="n">
        <v>46248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45785</v>
      </c>
      <c r="E294" s="1" t="n">
        <v>46248</v>
      </c>
      <c r="F294" t="inlineStr">
        <is>
          <t>HALLANDS LÄN</t>
        </is>
      </c>
      <c r="G294" t="inlineStr">
        <is>
          <t>VARBERG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46248</v>
      </c>
      <c r="F295" t="inlineStr">
        <is>
          <t>HALLANDS LÄN</t>
        </is>
      </c>
      <c r="G295" t="inlineStr">
        <is>
          <t>VARBERG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46248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46248</v>
      </c>
      <c r="F297" t="inlineStr">
        <is>
          <t>HALLANDS LÄN</t>
        </is>
      </c>
      <c r="G297" t="inlineStr">
        <is>
          <t>VARBERG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46248</v>
      </c>
      <c r="F298" t="inlineStr">
        <is>
          <t>HALLANDS LÄN</t>
        </is>
      </c>
      <c r="G298" t="inlineStr">
        <is>
          <t>VARBERG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46248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46248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46248</v>
      </c>
      <c r="F301" t="inlineStr">
        <is>
          <t>HALLANDS LÄN</t>
        </is>
      </c>
      <c r="G301" t="inlineStr">
        <is>
          <t>VARBERG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45852</v>
      </c>
      <c r="E302" s="1" t="n">
        <v>46248</v>
      </c>
      <c r="F302" t="inlineStr">
        <is>
          <t>HALLANDS LÄN</t>
        </is>
      </c>
      <c r="G302" t="inlineStr">
        <is>
          <t>VARBERG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46248</v>
      </c>
      <c r="F303" t="inlineStr">
        <is>
          <t>HALLANDS LÄN</t>
        </is>
      </c>
      <c r="G303" t="inlineStr">
        <is>
          <t>VARBERG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46248</v>
      </c>
      <c r="F304" t="inlineStr">
        <is>
          <t>HALLANDS LÄN</t>
        </is>
      </c>
      <c r="G304" t="inlineStr">
        <is>
          <t>VARBERG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45131</v>
      </c>
      <c r="E305" s="1" t="n">
        <v>46248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46248</v>
      </c>
      <c r="F306" t="inlineStr">
        <is>
          <t>HALLANDS LÄN</t>
        </is>
      </c>
      <c r="G306" t="inlineStr">
        <is>
          <t>VARBERG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46248</v>
      </c>
      <c r="F307" t="inlineStr">
        <is>
          <t>HALLANDS LÄN</t>
        </is>
      </c>
      <c r="G307" t="inlineStr">
        <is>
          <t>VARBERG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45200</v>
      </c>
      <c r="E308" s="1" t="n">
        <v>46248</v>
      </c>
      <c r="F308" t="inlineStr">
        <is>
          <t>HALLANDS LÄN</t>
        </is>
      </c>
      <c r="G308" t="inlineStr">
        <is>
          <t>VARBERG</t>
        </is>
      </c>
      <c r="I308" t="n">
        <v>8.800000000000001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44829</v>
      </c>
      <c r="E309" s="1" t="n">
        <v>46248</v>
      </c>
      <c r="F309" t="inlineStr">
        <is>
          <t>HALLANDS LÄN</t>
        </is>
      </c>
      <c r="G309" t="inlineStr">
        <is>
          <t>VARBERG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46248</v>
      </c>
      <c r="F310" t="inlineStr">
        <is>
          <t>HALLANDS LÄN</t>
        </is>
      </c>
      <c r="G310" t="inlineStr">
        <is>
          <t>VARBERG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46248</v>
      </c>
      <c r="F311" t="inlineStr">
        <is>
          <t>HALLANDS LÄN</t>
        </is>
      </c>
      <c r="G311" t="inlineStr">
        <is>
          <t>VARBERG</t>
        </is>
      </c>
      <c r="I311" t="n">
        <v>18.8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56853-2021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44481</v>
      </c>
      <c r="E312" s="1" t="n">
        <v>46248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44818</v>
      </c>
      <c r="E313" s="1" t="n">
        <v>46248</v>
      </c>
      <c r="F313" t="inlineStr">
        <is>
          <t>HALLANDS LÄN</t>
        </is>
      </c>
      <c r="G313" t="inlineStr">
        <is>
          <t>VARBERG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46248</v>
      </c>
      <c r="F314" t="inlineStr">
        <is>
          <t>HALLANDS LÄN</t>
        </is>
      </c>
      <c r="G314" t="inlineStr">
        <is>
          <t>VARBERG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72361-2021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44545</v>
      </c>
      <c r="E315" s="1" t="n">
        <v>46248</v>
      </c>
      <c r="F315" t="inlineStr">
        <is>
          <t>HALLANDS LÄN</t>
        </is>
      </c>
      <c r="G315" t="inlineStr">
        <is>
          <t>VARBERG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44767</v>
      </c>
      <c r="E316" s="1" t="n">
        <v>46248</v>
      </c>
      <c r="F316" t="inlineStr">
        <is>
          <t>HALLANDS LÄN</t>
        </is>
      </c>
      <c r="G316" t="inlineStr">
        <is>
          <t>VARBERG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44767</v>
      </c>
      <c r="E317" s="1" t="n">
        <v>46248</v>
      </c>
      <c r="F317" t="inlineStr">
        <is>
          <t>HALLANDS LÄN</t>
        </is>
      </c>
      <c r="G317" t="inlineStr">
        <is>
          <t>VARBERG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44982</v>
      </c>
      <c r="E318" s="1" t="n">
        <v>46248</v>
      </c>
      <c r="F318" t="inlineStr">
        <is>
          <t>HALLANDS LÄN</t>
        </is>
      </c>
      <c r="G318" t="inlineStr">
        <is>
          <t>VARBERG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46248</v>
      </c>
      <c r="F319" t="inlineStr">
        <is>
          <t>HALLANDS LÄN</t>
        </is>
      </c>
      <c r="G319" t="inlineStr">
        <is>
          <t>VARBERG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62791-2023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45271</v>
      </c>
      <c r="E320" s="1" t="n">
        <v>46248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44949</v>
      </c>
      <c r="E321" s="1" t="n">
        <v>46248</v>
      </c>
      <c r="F321" t="inlineStr">
        <is>
          <t>HALLANDS LÄN</t>
        </is>
      </c>
      <c r="G321" t="inlineStr">
        <is>
          <t>VARBERG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45271</v>
      </c>
      <c r="E322" s="1" t="n">
        <v>46248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9614-2024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45361</v>
      </c>
      <c r="E323" s="1" t="n">
        <v>46248</v>
      </c>
      <c r="F323" t="inlineStr">
        <is>
          <t>HALLANDS LÄN</t>
        </is>
      </c>
      <c r="G323" t="inlineStr">
        <is>
          <t>VARBERG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45313</v>
      </c>
      <c r="E324" s="1" t="n">
        <v>46248</v>
      </c>
      <c r="F324" t="inlineStr">
        <is>
          <t>HALLANDS LÄN</t>
        </is>
      </c>
      <c r="G324" t="inlineStr">
        <is>
          <t>VARBERG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46248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49760-2024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45597</v>
      </c>
      <c r="E326" s="1" t="n">
        <v>46248</v>
      </c>
      <c r="F326" t="inlineStr">
        <is>
          <t>HALLANDS LÄN</t>
        </is>
      </c>
      <c r="G326" t="inlineStr">
        <is>
          <t>VARBERG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46248</v>
      </c>
      <c r="F327" t="inlineStr">
        <is>
          <t>HALLANDS LÄN</t>
        </is>
      </c>
      <c r="G327" t="inlineStr">
        <is>
          <t>VARBERG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46248</v>
      </c>
      <c r="F328" t="inlineStr">
        <is>
          <t>HALLANDS LÄN</t>
        </is>
      </c>
      <c r="G328" t="inlineStr">
        <is>
          <t>VARBERG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42566-2022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44831</v>
      </c>
      <c r="E329" s="1" t="n">
        <v>46248</v>
      </c>
      <c r="F329" t="inlineStr">
        <is>
          <t>HALLANDS LÄN</t>
        </is>
      </c>
      <c r="G329" t="inlineStr">
        <is>
          <t>VARBERG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46248</v>
      </c>
      <c r="F330" t="inlineStr">
        <is>
          <t>HALLANDS LÄN</t>
        </is>
      </c>
      <c r="G330" t="inlineStr">
        <is>
          <t>VARBERG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45819</v>
      </c>
      <c r="E331" s="1" t="n">
        <v>46248</v>
      </c>
      <c r="F331" t="inlineStr">
        <is>
          <t>HALLANDS LÄN</t>
        </is>
      </c>
      <c r="G331" t="inlineStr">
        <is>
          <t>VARBERG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45877</v>
      </c>
      <c r="E332" s="1" t="n">
        <v>46248</v>
      </c>
      <c r="F332" t="inlineStr">
        <is>
          <t>HALLANDS LÄN</t>
        </is>
      </c>
      <c r="G332" t="inlineStr">
        <is>
          <t>VARBERG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46248</v>
      </c>
      <c r="F333" t="inlineStr">
        <is>
          <t>HALLANDS LÄN</t>
        </is>
      </c>
      <c r="G333" t="inlineStr">
        <is>
          <t>VARBERG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46248</v>
      </c>
      <c r="F334" t="inlineStr">
        <is>
          <t>HALLANDS LÄN</t>
        </is>
      </c>
      <c r="G334" t="inlineStr">
        <is>
          <t>VARBERG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43273-2025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45910</v>
      </c>
      <c r="E335" s="1" t="n">
        <v>46248</v>
      </c>
      <c r="F335" t="inlineStr">
        <is>
          <t>HALLANDS LÄN</t>
        </is>
      </c>
      <c r="G335" t="inlineStr">
        <is>
          <t>VARBERG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46248</v>
      </c>
      <c r="F336" t="inlineStr">
        <is>
          <t>HALLANDS LÄN</t>
        </is>
      </c>
      <c r="G336" t="inlineStr">
        <is>
          <t>VARBERG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46248</v>
      </c>
      <c r="F337" t="inlineStr">
        <is>
          <t>HALLANDS LÄN</t>
        </is>
      </c>
      <c r="G337" t="inlineStr">
        <is>
          <t>VARBERG</t>
        </is>
      </c>
      <c r="I337" t="n">
        <v>11.6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45881</v>
      </c>
      <c r="E338" s="1" t="n">
        <v>46248</v>
      </c>
      <c r="F338" t="inlineStr">
        <is>
          <t>HALLANDS LÄN</t>
        </is>
      </c>
      <c r="G338" t="inlineStr">
        <is>
          <t>VARBERG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46248</v>
      </c>
      <c r="F339" t="inlineStr">
        <is>
          <t>HALLANDS LÄN</t>
        </is>
      </c>
      <c r="G339" t="inlineStr">
        <is>
          <t>VARBERG</t>
        </is>
      </c>
      <c r="H339" t="inlineStr">
        <is>
          <t>Kyrkan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46248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46248</v>
      </c>
      <c r="F341" t="inlineStr">
        <is>
          <t>HALLANDS LÄN</t>
        </is>
      </c>
      <c r="G341" t="inlineStr">
        <is>
          <t>VARBERG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46248</v>
      </c>
      <c r="F342" t="inlineStr">
        <is>
          <t>HALLANDS LÄN</t>
        </is>
      </c>
      <c r="G342" t="inlineStr">
        <is>
          <t>VARBERG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46248</v>
      </c>
      <c r="F343" t="inlineStr">
        <is>
          <t>HALLANDS LÄN</t>
        </is>
      </c>
      <c r="G343" t="inlineStr">
        <is>
          <t>VARBERG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46161</v>
      </c>
      <c r="E344" s="1" t="n">
        <v>46248</v>
      </c>
      <c r="F344" t="inlineStr">
        <is>
          <t>HALLANDS LÄN</t>
        </is>
      </c>
      <c r="G344" t="inlineStr">
        <is>
          <t>VARBERG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46161</v>
      </c>
      <c r="E345" s="1" t="n">
        <v>46248</v>
      </c>
      <c r="F345" t="inlineStr">
        <is>
          <t>HALLANDS LÄN</t>
        </is>
      </c>
      <c r="G345" t="inlineStr">
        <is>
          <t>VARBERG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46248</v>
      </c>
      <c r="F346" t="inlineStr">
        <is>
          <t>HALLANDS LÄN</t>
        </is>
      </c>
      <c r="G346" t="inlineStr">
        <is>
          <t>VARBERG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45378</v>
      </c>
      <c r="E347" s="1" t="n">
        <v>46248</v>
      </c>
      <c r="F347" t="inlineStr">
        <is>
          <t>HALLANDS LÄN</t>
        </is>
      </c>
      <c r="G347" t="inlineStr">
        <is>
          <t>VARBERG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45932</v>
      </c>
      <c r="E348" s="1" t="n">
        <v>46248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45574</v>
      </c>
      <c r="E349" s="1" t="n">
        <v>46248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46248</v>
      </c>
      <c r="F350" t="inlineStr">
        <is>
          <t>HALLANDS LÄN</t>
        </is>
      </c>
      <c r="G350" t="inlineStr">
        <is>
          <t>VARBERG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46248</v>
      </c>
      <c r="F351" t="inlineStr">
        <is>
          <t>HALLANDS LÄN</t>
        </is>
      </c>
      <c r="G351" t="inlineStr">
        <is>
          <t>VARBERG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45722</v>
      </c>
      <c r="E352" s="1" t="n">
        <v>46248</v>
      </c>
      <c r="F352" t="inlineStr">
        <is>
          <t>HALLANDS LÄN</t>
        </is>
      </c>
      <c r="G352" t="inlineStr">
        <is>
          <t>VARBERG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46248</v>
      </c>
      <c r="F353" t="inlineStr">
        <is>
          <t>HALLANDS LÄN</t>
        </is>
      </c>
      <c r="G353" t="inlineStr">
        <is>
          <t>VARBERG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46248</v>
      </c>
      <c r="F354" t="inlineStr">
        <is>
          <t>HALLANDS LÄN</t>
        </is>
      </c>
      <c r="G354" t="inlineStr">
        <is>
          <t>VARBERG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46248</v>
      </c>
      <c r="F355" t="inlineStr">
        <is>
          <t>HALLANDS LÄN</t>
        </is>
      </c>
      <c r="G355" t="inlineStr">
        <is>
          <t>VARBERG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46943-2025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46248</v>
      </c>
      <c r="F356" t="inlineStr">
        <is>
          <t>HALLANDS LÄN</t>
        </is>
      </c>
      <c r="G356" t="inlineStr">
        <is>
          <t>VARBERG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45336</v>
      </c>
      <c r="E357" s="1" t="n">
        <v>46248</v>
      </c>
      <c r="F357" t="inlineStr">
        <is>
          <t>HALLANDS LÄN</t>
        </is>
      </c>
      <c r="G357" t="inlineStr">
        <is>
          <t>VARBERG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45434</v>
      </c>
      <c r="E358" s="1" t="n">
        <v>46248</v>
      </c>
      <c r="F358" t="inlineStr">
        <is>
          <t>HALLANDS LÄN</t>
        </is>
      </c>
      <c r="G358" t="inlineStr">
        <is>
          <t>VARBERG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46164</v>
      </c>
      <c r="E359" s="1" t="n">
        <v>46248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46939-2025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46248</v>
      </c>
      <c r="F360" t="inlineStr">
        <is>
          <t>HALLANDS LÄN</t>
        </is>
      </c>
      <c r="G360" t="inlineStr">
        <is>
          <t>VARBERG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45932</v>
      </c>
      <c r="E361" s="1" t="n">
        <v>46248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46248</v>
      </c>
      <c r="F362" t="inlineStr">
        <is>
          <t>HALLANDS LÄN</t>
        </is>
      </c>
      <c r="G362" t="inlineStr">
        <is>
          <t>VARBERG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46248</v>
      </c>
      <c r="F363" t="inlineStr">
        <is>
          <t>HALLANDS LÄN</t>
        </is>
      </c>
      <c r="G363" t="inlineStr">
        <is>
          <t>VARBERG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46248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46248</v>
      </c>
      <c r="F365" t="inlineStr">
        <is>
          <t>HALLANDS LÄN</t>
        </is>
      </c>
      <c r="G365" t="inlineStr">
        <is>
          <t>VARBERG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45590</v>
      </c>
      <c r="E366" s="1" t="n">
        <v>46248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45987-2024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45580</v>
      </c>
      <c r="E367" s="1" t="n">
        <v>46248</v>
      </c>
      <c r="F367" t="inlineStr">
        <is>
          <t>HALLANDS LÄN</t>
        </is>
      </c>
      <c r="G367" t="inlineStr">
        <is>
          <t>VARBERG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46248</v>
      </c>
      <c r="F368" t="inlineStr">
        <is>
          <t>HALLANDS LÄN</t>
        </is>
      </c>
      <c r="G368" t="inlineStr">
        <is>
          <t>VARBERG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46248</v>
      </c>
      <c r="F369" t="inlineStr">
        <is>
          <t>HALLANDS LÄN</t>
        </is>
      </c>
      <c r="G369" t="inlineStr">
        <is>
          <t>VARBERG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46248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46248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46248</v>
      </c>
      <c r="F372" t="inlineStr">
        <is>
          <t>HALLANDS LÄN</t>
        </is>
      </c>
      <c r="G372" t="inlineStr">
        <is>
          <t>VARBERG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46248</v>
      </c>
      <c r="F373" t="inlineStr">
        <is>
          <t>HALLANDS LÄN</t>
        </is>
      </c>
      <c r="G373" t="inlineStr">
        <is>
          <t>VARBERG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46248</v>
      </c>
      <c r="F374" t="inlineStr">
        <is>
          <t>HALLANDS LÄN</t>
        </is>
      </c>
      <c r="G374" t="inlineStr">
        <is>
          <t>VARBERG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45952</v>
      </c>
      <c r="E375" s="1" t="n">
        <v>46248</v>
      </c>
      <c r="F375" t="inlineStr">
        <is>
          <t>HALLANDS LÄN</t>
        </is>
      </c>
      <c r="G375" t="inlineStr">
        <is>
          <t>VARBERG</t>
        </is>
      </c>
      <c r="H375" t="inlineStr">
        <is>
          <t>Kyrkan</t>
        </is>
      </c>
      <c r="I375" t="n">
        <v>8.5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46248</v>
      </c>
      <c r="F376" t="inlineStr">
        <is>
          <t>HALLANDS LÄN</t>
        </is>
      </c>
      <c r="G376" t="inlineStr">
        <is>
          <t>VARBERG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46248</v>
      </c>
      <c r="F377" t="inlineStr">
        <is>
          <t>HALLANDS LÄN</t>
        </is>
      </c>
      <c r="G377" t="inlineStr">
        <is>
          <t>VARBERG</t>
        </is>
      </c>
      <c r="H377" t="inlineStr">
        <is>
          <t>Kyrkan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46248</v>
      </c>
      <c r="F378" t="inlineStr">
        <is>
          <t>HALLANDS LÄN</t>
        </is>
      </c>
      <c r="G378" t="inlineStr">
        <is>
          <t>VARBERG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46248</v>
      </c>
      <c r="F379" t="inlineStr">
        <is>
          <t>HALLANDS LÄN</t>
        </is>
      </c>
      <c r="G379" t="inlineStr">
        <is>
          <t>VARBERG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45960</v>
      </c>
      <c r="E380" s="1" t="n">
        <v>46248</v>
      </c>
      <c r="F380" t="inlineStr">
        <is>
          <t>HALLANDS LÄN</t>
        </is>
      </c>
      <c r="G380" t="inlineStr">
        <is>
          <t>VARBERG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45960</v>
      </c>
      <c r="E381" s="1" t="n">
        <v>46248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46248</v>
      </c>
      <c r="F382" t="inlineStr">
        <is>
          <t>HALLANDS LÄN</t>
        </is>
      </c>
      <c r="G382" t="inlineStr">
        <is>
          <t>VARBERG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46248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46248</v>
      </c>
      <c r="F384" t="inlineStr">
        <is>
          <t>HALLANDS LÄN</t>
        </is>
      </c>
      <c r="G384" t="inlineStr">
        <is>
          <t>VARBERG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55893-2025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46248</v>
      </c>
      <c r="F385" t="inlineStr">
        <is>
          <t>HALLANDS LÄN</t>
        </is>
      </c>
      <c r="G385" t="inlineStr">
        <is>
          <t>VARBERG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46248</v>
      </c>
      <c r="F386" t="inlineStr">
        <is>
          <t>HALLANDS LÄN</t>
        </is>
      </c>
      <c r="G386" t="inlineStr">
        <is>
          <t>VARBERG</t>
        </is>
      </c>
      <c r="I386" t="n">
        <v>10.6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46248</v>
      </c>
      <c r="F387" t="inlineStr">
        <is>
          <t>HALLANDS LÄN</t>
        </is>
      </c>
      <c r="G387" t="inlineStr">
        <is>
          <t>VARBERG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46248</v>
      </c>
      <c r="F388" t="inlineStr">
        <is>
          <t>HALLANDS LÄN</t>
        </is>
      </c>
      <c r="G388" t="inlineStr">
        <is>
          <t>VARBERG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46248</v>
      </c>
      <c r="F389" t="inlineStr">
        <is>
          <t>HALLANDS LÄN</t>
        </is>
      </c>
      <c r="G389" t="inlineStr">
        <is>
          <t>VARBERG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46248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46248</v>
      </c>
      <c r="F391" t="inlineStr">
        <is>
          <t>HALLANDS LÄN</t>
        </is>
      </c>
      <c r="G391" t="inlineStr">
        <is>
          <t>VARBERG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46248</v>
      </c>
      <c r="F392" t="inlineStr">
        <is>
          <t>HALLANDS LÄN</t>
        </is>
      </c>
      <c r="G392" t="inlineStr">
        <is>
          <t>VARBERG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46248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58397-2025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46248</v>
      </c>
      <c r="F394" t="inlineStr">
        <is>
          <t>HALLANDS LÄN</t>
        </is>
      </c>
      <c r="G394" t="inlineStr">
        <is>
          <t>VARBERG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46248</v>
      </c>
      <c r="F395" t="inlineStr">
        <is>
          <t>HALLANDS LÄN</t>
        </is>
      </c>
      <c r="G395" t="inlineStr">
        <is>
          <t>VARBERG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46248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46248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46248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46248</v>
      </c>
      <c r="F399" t="inlineStr">
        <is>
          <t>HALLANDS LÄN</t>
        </is>
      </c>
      <c r="G399" t="inlineStr">
        <is>
          <t>VARBERG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46234</v>
      </c>
      <c r="E400" s="1" t="n">
        <v>46248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46248</v>
      </c>
      <c r="F401" t="inlineStr">
        <is>
          <t>HALLANDS LÄN</t>
        </is>
      </c>
      <c r="G401" t="inlineStr">
        <is>
          <t>VARBERG</t>
        </is>
      </c>
      <c r="H401" t="inlineStr">
        <is>
          <t>Övriga statliga verk och myndigheter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46248</v>
      </c>
      <c r="F402" t="inlineStr">
        <is>
          <t>HALLANDS LÄN</t>
        </is>
      </c>
      <c r="G402" t="inlineStr">
        <is>
          <t>VARBERG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60207-2025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46248</v>
      </c>
      <c r="F403" t="inlineStr">
        <is>
          <t>HALLANDS LÄN</t>
        </is>
      </c>
      <c r="G403" t="inlineStr">
        <is>
          <t>VARBERG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45994</v>
      </c>
      <c r="E404" s="1" t="n">
        <v>46248</v>
      </c>
      <c r="F404" t="inlineStr">
        <is>
          <t>HALLANDS LÄN</t>
        </is>
      </c>
      <c r="G404" t="inlineStr">
        <is>
          <t>VARBERG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60212-2025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45994</v>
      </c>
      <c r="E405" s="1" t="n">
        <v>46248</v>
      </c>
      <c r="F405" t="inlineStr">
        <is>
          <t>HALLANDS LÄN</t>
        </is>
      </c>
      <c r="G405" t="inlineStr">
        <is>
          <t>VARBERG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46248</v>
      </c>
      <c r="F406" t="inlineStr">
        <is>
          <t>HALLANDS LÄN</t>
        </is>
      </c>
      <c r="G406" t="inlineStr">
        <is>
          <t>VARBERG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46248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46248</v>
      </c>
      <c r="F408" t="inlineStr">
        <is>
          <t>HALLANDS LÄN</t>
        </is>
      </c>
      <c r="G408" t="inlineStr">
        <is>
          <t>VARBERG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46248</v>
      </c>
      <c r="F409" t="inlineStr">
        <is>
          <t>HALLANDS LÄN</t>
        </is>
      </c>
      <c r="G409" t="inlineStr">
        <is>
          <t>VARBERG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46248</v>
      </c>
      <c r="F410" t="inlineStr">
        <is>
          <t>HALLANDS LÄN</t>
        </is>
      </c>
      <c r="G410" t="inlineStr">
        <is>
          <t>VARBERG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46248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46007</v>
      </c>
      <c r="E412" s="1" t="n">
        <v>46248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46248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46248</v>
      </c>
      <c r="F414" t="inlineStr">
        <is>
          <t>HALLANDS LÄN</t>
        </is>
      </c>
      <c r="G414" t="inlineStr">
        <is>
          <t>VARBERG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46248</v>
      </c>
      <c r="F415" t="inlineStr">
        <is>
          <t>HALLANDS LÄN</t>
        </is>
      </c>
      <c r="G415" t="inlineStr">
        <is>
          <t>VARBERG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46248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46248</v>
      </c>
      <c r="F417" t="inlineStr">
        <is>
          <t>HALLANDS LÄN</t>
        </is>
      </c>
      <c r="G417" t="inlineStr">
        <is>
          <t>VARBERG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46248</v>
      </c>
      <c r="F418" t="inlineStr">
        <is>
          <t>HALLANDS LÄN</t>
        </is>
      </c>
      <c r="G418" t="inlineStr">
        <is>
          <t>VARBERG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46248</v>
      </c>
      <c r="F419" t="inlineStr">
        <is>
          <t>HALLANDS LÄN</t>
        </is>
      </c>
      <c r="G419" t="inlineStr">
        <is>
          <t>VARBERG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46014</v>
      </c>
      <c r="E420" s="1" t="n">
        <v>46248</v>
      </c>
      <c r="F420" t="inlineStr">
        <is>
          <t>HALLANDS LÄN</t>
        </is>
      </c>
      <c r="G420" t="inlineStr">
        <is>
          <t>VARBERG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63634-2025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46014</v>
      </c>
      <c r="E421" s="1" t="n">
        <v>46248</v>
      </c>
      <c r="F421" t="inlineStr">
        <is>
          <t>HALLANDS LÄN</t>
        </is>
      </c>
      <c r="G421" t="inlineStr">
        <is>
          <t>VARBERG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46014</v>
      </c>
      <c r="E422" s="1" t="n">
        <v>46248</v>
      </c>
      <c r="F422" t="inlineStr">
        <is>
          <t>HALLANDS LÄN</t>
        </is>
      </c>
      <c r="G422" t="inlineStr">
        <is>
          <t>VARBERG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63638-2025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46014</v>
      </c>
      <c r="E423" s="1" t="n">
        <v>46248</v>
      </c>
      <c r="F423" t="inlineStr">
        <is>
          <t>HALLANDS LÄN</t>
        </is>
      </c>
      <c r="G423" t="inlineStr">
        <is>
          <t>VARBERG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28851-2026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46248</v>
      </c>
      <c r="F424" t="inlineStr">
        <is>
          <t>HALLANDS LÄN</t>
        </is>
      </c>
      <c r="G424" t="inlineStr">
        <is>
          <t>VARBERG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46014</v>
      </c>
      <c r="E425" s="1" t="n">
        <v>46248</v>
      </c>
      <c r="F425" t="inlineStr">
        <is>
          <t>HALLANDS LÄN</t>
        </is>
      </c>
      <c r="G425" t="inlineStr">
        <is>
          <t>VARBERG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46248</v>
      </c>
      <c r="F426" t="inlineStr">
        <is>
          <t>HALLANDS LÄN</t>
        </is>
      </c>
      <c r="G426" t="inlineStr">
        <is>
          <t>VARBERG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46248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46024</v>
      </c>
      <c r="E428" s="1" t="n">
        <v>46248</v>
      </c>
      <c r="F428" t="inlineStr">
        <is>
          <t>HALLANDS LÄN</t>
        </is>
      </c>
      <c r="G428" t="inlineStr">
        <is>
          <t>VARBERG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46047</v>
      </c>
      <c r="E429" s="1" t="n">
        <v>46248</v>
      </c>
      <c r="F429" t="inlineStr">
        <is>
          <t>HALLANDS LÄN</t>
        </is>
      </c>
      <c r="G429" t="inlineStr">
        <is>
          <t>VARBERG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46047</v>
      </c>
      <c r="E430" s="1" t="n">
        <v>46248</v>
      </c>
      <c r="F430" t="inlineStr">
        <is>
          <t>HALLANDS LÄN</t>
        </is>
      </c>
      <c r="G430" t="inlineStr">
        <is>
          <t>VARBERG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46248</v>
      </c>
      <c r="F431" t="inlineStr">
        <is>
          <t>HALLANDS LÄN</t>
        </is>
      </c>
      <c r="G431" t="inlineStr">
        <is>
          <t>VARBERG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46248</v>
      </c>
      <c r="F432" t="inlineStr">
        <is>
          <t>HALLANDS LÄN</t>
        </is>
      </c>
      <c r="G432" t="inlineStr">
        <is>
          <t>VARBERG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46248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46248</v>
      </c>
      <c r="F434" t="inlineStr">
        <is>
          <t>HALLANDS LÄN</t>
        </is>
      </c>
      <c r="G434" t="inlineStr">
        <is>
          <t>VARBERG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46248</v>
      </c>
      <c r="F435" t="inlineStr">
        <is>
          <t>HALLANDS LÄN</t>
        </is>
      </c>
      <c r="G435" t="inlineStr">
        <is>
          <t>VARBERG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46248</v>
      </c>
      <c r="F436" t="inlineStr">
        <is>
          <t>HALLANDS LÄN</t>
        </is>
      </c>
      <c r="G436" t="inlineStr">
        <is>
          <t>VARBERG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46248</v>
      </c>
      <c r="F437" t="inlineStr">
        <is>
          <t>HALLANDS LÄN</t>
        </is>
      </c>
      <c r="G437" t="inlineStr">
        <is>
          <t>VARBERG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46248</v>
      </c>
      <c r="F438" t="inlineStr">
        <is>
          <t>HALLANDS LÄN</t>
        </is>
      </c>
      <c r="G438" t="inlineStr">
        <is>
          <t>VARBERG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46248</v>
      </c>
      <c r="F439" t="inlineStr">
        <is>
          <t>HALLANDS LÄN</t>
        </is>
      </c>
      <c r="G439" t="inlineStr">
        <is>
          <t>VARBERG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46248</v>
      </c>
      <c r="F440" t="inlineStr">
        <is>
          <t>HALLANDS LÄN</t>
        </is>
      </c>
      <c r="G440" t="inlineStr">
        <is>
          <t>VARBERG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15983-2026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46248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46248</v>
      </c>
      <c r="F442" t="inlineStr">
        <is>
          <t>HALLANDS LÄN</t>
        </is>
      </c>
      <c r="G442" t="inlineStr">
        <is>
          <t>VARBERG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19130-2026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46132</v>
      </c>
      <c r="E443" s="1" t="n">
        <v>46248</v>
      </c>
      <c r="F443" t="inlineStr">
        <is>
          <t>HALLANDS LÄN</t>
        </is>
      </c>
      <c r="G443" t="inlineStr">
        <is>
          <t>VARBERG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45487</v>
      </c>
      <c r="E444" s="1" t="n">
        <v>46248</v>
      </c>
      <c r="F444" t="inlineStr">
        <is>
          <t>HALLANDS LÄN</t>
        </is>
      </c>
      <c r="G444" t="inlineStr">
        <is>
          <t>VARBERG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28843-2023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46248</v>
      </c>
      <c r="F445" t="inlineStr">
        <is>
          <t>HALLANDS LÄN</t>
        </is>
      </c>
      <c r="G445" t="inlineStr">
        <is>
          <t>VARBERG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45623</v>
      </c>
      <c r="E446" s="1" t="n">
        <v>46248</v>
      </c>
      <c r="F446" t="inlineStr">
        <is>
          <t>HALLANDS LÄN</t>
        </is>
      </c>
      <c r="G446" t="inlineStr">
        <is>
          <t>VARBERG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42498-2025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45905</v>
      </c>
      <c r="E447" s="1" t="n">
        <v>46248</v>
      </c>
      <c r="F447" t="inlineStr">
        <is>
          <t>HALLANDS LÄN</t>
        </is>
      </c>
      <c r="G447" t="inlineStr">
        <is>
          <t>VARBERG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46248</v>
      </c>
      <c r="F448" t="inlineStr">
        <is>
          <t>HALLANDS LÄN</t>
        </is>
      </c>
      <c r="G448" t="inlineStr">
        <is>
          <t>VARBERG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45477</v>
      </c>
      <c r="E449" s="1" t="n">
        <v>46248</v>
      </c>
      <c r="F449" t="inlineStr">
        <is>
          <t>HALLANDS LÄN</t>
        </is>
      </c>
      <c r="G449" t="inlineStr">
        <is>
          <t>VARBERG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45932</v>
      </c>
      <c r="E450" s="1" t="n">
        <v>46248</v>
      </c>
      <c r="F450" t="inlineStr">
        <is>
          <t>HALLANDS LÄN</t>
        </is>
      </c>
      <c r="G450" t="inlineStr">
        <is>
          <t>VARBERG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6247-2022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44868</v>
      </c>
      <c r="E451" s="1" t="n">
        <v>46248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6873-2022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44895</v>
      </c>
      <c r="E452" s="1" t="n">
        <v>46248</v>
      </c>
      <c r="F452" t="inlineStr">
        <is>
          <t>HALLANDS LÄN</t>
        </is>
      </c>
      <c r="G452" t="inlineStr">
        <is>
          <t>VARBERG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45300</v>
      </c>
      <c r="E453" s="1" t="n">
        <v>46248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9190-2021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44522</v>
      </c>
      <c r="E454" s="1" t="n">
        <v>46248</v>
      </c>
      <c r="F454" t="inlineStr">
        <is>
          <t>HALLANDS LÄN</t>
        </is>
      </c>
      <c r="G454" t="inlineStr">
        <is>
          <t>VARBERG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46248</v>
      </c>
      <c r="F455" t="inlineStr">
        <is>
          <t>HALLANDS LÄN</t>
        </is>
      </c>
      <c r="G455" t="inlineStr">
        <is>
          <t>VARBERG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45425</v>
      </c>
      <c r="E456" s="1" t="n">
        <v>46248</v>
      </c>
      <c r="F456" t="inlineStr">
        <is>
          <t>HALLANDS LÄN</t>
        </is>
      </c>
      <c r="G456" t="inlineStr">
        <is>
          <t>VARBERG</t>
        </is>
      </c>
      <c r="I456" t="n">
        <v>21.5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1601-2024</t>
        </is>
      </c>
      <c r="B457" t="inlineStr">
        <is>
          <t>samrådsanmälan</t>
        </is>
      </c>
      <c r="C457" t="inlineStr">
        <is>
          <t>Skogsbilväg</t>
        </is>
      </c>
      <c r="D457" s="1" t="n">
        <v>45428</v>
      </c>
      <c r="E457" s="1" t="n">
        <v>46248</v>
      </c>
      <c r="F457" t="inlineStr">
        <is>
          <t>HALLANDS LÄN</t>
        </is>
      </c>
      <c r="G457" t="inlineStr">
        <is>
          <t>VARBERG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6863-2022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46248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3713-2024</t>
        </is>
      </c>
      <c r="B459" t="inlineStr">
        <is>
          <t>samrådsanmälan</t>
        </is>
      </c>
      <c r="C459" t="inlineStr">
        <is>
          <t>Dikesrensning</t>
        </is>
      </c>
      <c r="D459" s="1" t="n">
        <v>45554</v>
      </c>
      <c r="E459" s="1" t="n">
        <v>46248</v>
      </c>
      <c r="F459" t="inlineStr">
        <is>
          <t>HALLANDS LÄN</t>
        </is>
      </c>
      <c r="G459" t="inlineStr">
        <is>
          <t>VARBERG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630-2024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45355</v>
      </c>
      <c r="E460" s="1" t="n">
        <v>46248</v>
      </c>
      <c r="F460" t="inlineStr">
        <is>
          <t>HALLANDS LÄN</t>
        </is>
      </c>
      <c r="G460" t="inlineStr">
        <is>
          <t>VARBERG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46248</v>
      </c>
      <c r="F461" t="inlineStr">
        <is>
          <t>HALLANDS LÄN</t>
        </is>
      </c>
      <c r="G461" t="inlineStr">
        <is>
          <t>VARBERG</t>
        </is>
      </c>
      <c r="I461" t="n">
        <v>28.2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7377-2021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44470</v>
      </c>
      <c r="E462" s="1" t="n">
        <v>46248</v>
      </c>
      <c r="F462" t="inlineStr">
        <is>
          <t>HALLANDS LÄN</t>
        </is>
      </c>
      <c r="G462" t="inlineStr">
        <is>
          <t>VARBERG</t>
        </is>
      </c>
      <c r="I462" t="n">
        <v>45.3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2133-2025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45847</v>
      </c>
      <c r="E463" s="1" t="n">
        <v>46248</v>
      </c>
      <c r="F463" t="inlineStr">
        <is>
          <t>HALLANDS LÄN</t>
        </is>
      </c>
      <c r="G463" t="inlineStr">
        <is>
          <t>VARBERG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139-2026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46042</v>
      </c>
      <c r="E464" s="1" t="n">
        <v>46248</v>
      </c>
      <c r="F464" t="inlineStr">
        <is>
          <t>HALLANDS LÄN</t>
        </is>
      </c>
      <c r="G464" t="inlineStr">
        <is>
          <t>VARBERG</t>
        </is>
      </c>
      <c r="I464" t="n">
        <v>38.9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140-2026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46248</v>
      </c>
      <c r="F465" t="inlineStr">
        <is>
          <t>HALLANDS LÄN</t>
        </is>
      </c>
      <c r="G465" t="inlineStr">
        <is>
          <t>VARBERG</t>
        </is>
      </c>
      <c r="I465" t="n">
        <v>23.1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46248</v>
      </c>
      <c r="F466" t="inlineStr">
        <is>
          <t>HALLANDS LÄN</t>
        </is>
      </c>
      <c r="G466" t="inlineStr">
        <is>
          <t>VARBERG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46154</v>
      </c>
      <c r="E467" s="1" t="n">
        <v>46248</v>
      </c>
      <c r="F467" t="inlineStr">
        <is>
          <t>HALLANDS LÄN</t>
        </is>
      </c>
      <c r="G467" t="inlineStr">
        <is>
          <t>VARBERG</t>
        </is>
      </c>
      <c r="I467" t="n">
        <v>15.4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1402-2026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46248</v>
      </c>
      <c r="F468" t="inlineStr">
        <is>
          <t>HALLANDS LÄN</t>
        </is>
      </c>
      <c r="G468" t="inlineStr">
        <is>
          <t>VARBERG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2026-08-14T01:55:06Z</dcterms:created>
  <dcterms:modified xmlns:dcterms="http://purl.org/dc/terms/" xmlns:xsi="http://www.w3.org/2001/XMLSchema-instance" xsi:type="dcterms:W3CDTF">2026-08-14T01:55:07Z</dcterms:modified>
</cp:coreProperties>
</file>