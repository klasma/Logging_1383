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46313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46313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46313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46313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46313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46313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46313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46313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46313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46313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46313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46313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46313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46313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46313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46313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33144-2025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46313</v>
      </c>
      <c r="F22" t="inlineStr">
        <is>
          <t>HALLANDS LÄN</t>
        </is>
      </c>
      <c r="G22" t="inlineStr">
        <is>
          <t>VARBERG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HYPERLINK("https://klasma.github.io/Logging_1383/artfynd/A 33144-2025 artfynd.xlsx", "A 33144-2025")</f>
        <v/>
      </c>
      <c r="X22">
        <f>HYPERLINK("https://klasma.github.io/Logging_1383/kartor/A 33144-2025 karta.png", "A 33144-2025")</f>
        <v/>
      </c>
      <c r="Y22">
        <f>HYPERLINK("https://klasma.github.io/Logging_1383/kartor_geotiff/A 33144-2025 georefererad karta.tif", "A 33144-2025")</f>
        <v/>
      </c>
      <c r="AA22">
        <f>HYPERLINK("https://klasma.github.io/Logging_1383/klagomål/A 33144-2025 FSC-klagomål.docx", "A 33144-2025")</f>
        <v/>
      </c>
      <c r="AB22">
        <f>HYPERLINK("https://klasma.github.io/Logging_1383/klagomålsmail/A 33144-2025 FSC-klagomål mail.docx", "A 33144-2025")</f>
        <v/>
      </c>
      <c r="AC22">
        <f>HYPERLINK("https://klasma.github.io/Logging_1383/tillsyn/A 33144-2025 tillsynsbegäran.docx", "A 33144-2025")</f>
        <v/>
      </c>
      <c r="AD22">
        <f>HYPERLINK("https://klasma.github.io/Logging_1383/tillsynsmail/A 33144-2025 tillsynsbegäran mail.docx", "A 33144-2025")</f>
        <v/>
      </c>
      <c r="AE22">
        <f>HYPERLINK("https://klasma.github.io/Logging_1383/fåglar/A 33144-2025 prioriterade fågelarter.docx", "A 33144-2025")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46313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46313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46313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46313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46313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46313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46313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46313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46313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46313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46313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38094-2026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46313</v>
      </c>
      <c r="F34" t="inlineStr">
        <is>
          <t>HALLANDS LÄN</t>
        </is>
      </c>
      <c r="G34" t="inlineStr">
        <is>
          <t>VARBERG</t>
        </is>
      </c>
      <c r="I34" t="n">
        <v>8.800000000000001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38094-2026 artfynd.xlsx", "A 38094-2026")</f>
        <v/>
      </c>
      <c r="X34">
        <f>HYPERLINK("https://klasma.github.io/Logging_1383/kartor/A 38094-2026 karta.png", "A 38094-2026")</f>
        <v/>
      </c>
      <c r="Y34">
        <f>HYPERLINK("https://klasma.github.io/Logging_1383/kartor_geotiff/A 38094-2026 georefererad karta.tif", "A 38094-2026")</f>
        <v/>
      </c>
      <c r="AA34">
        <f>HYPERLINK("https://klasma.github.io/Logging_1383/klagomål/A 38094-2026 FSC-klagomål.docx", "A 38094-2026")</f>
        <v/>
      </c>
      <c r="AB34">
        <f>HYPERLINK("https://klasma.github.io/Logging_1383/klagomålsmail/A 38094-2026 FSC-klagomål mail.docx", "A 38094-2026")</f>
        <v/>
      </c>
      <c r="AC34">
        <f>HYPERLINK("https://klasma.github.io/Logging_1383/tillsyn/A 38094-2026 tillsynsbegäran.docx", "A 38094-2026")</f>
        <v/>
      </c>
      <c r="AD34">
        <f>HYPERLINK("https://klasma.github.io/Logging_1383/tillsynsmail/A 38094-2026 tillsynsbegäran mail.docx", "A 38094-2026")</f>
        <v/>
      </c>
      <c r="AE34">
        <f>HYPERLINK("https://klasma.github.io/Logging_1383/fåglar/A 38094-2026 prioriterade fågelarter.docx", "A 38094-2026")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46313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46313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A 42573-2022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46313</v>
      </c>
      <c r="F37" t="inlineStr">
        <is>
          <t>HALLANDS LÄN</t>
        </is>
      </c>
      <c r="G37" t="inlineStr">
        <is>
          <t>VARBERG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 glada</t>
        </is>
      </c>
      <c r="W37">
        <f>HYPERLINK("https://klasma.github.io/Logging_1383/artfynd/A 42573-2022 artfynd.xlsx", "A 42573-2022")</f>
        <v/>
      </c>
      <c r="X37">
        <f>HYPERLINK("https://klasma.github.io/Logging_1383/kartor/A 42573-2022 karta.png", "A 42573-2022")</f>
        <v/>
      </c>
      <c r="Y37">
        <f>HYPERLINK("https://klasma.github.io/Logging_1383/kartor_geotiff/A 42573-2022 georefererad karta.tif", "A 42573-2022")</f>
        <v/>
      </c>
      <c r="AA37">
        <f>HYPERLINK("https://klasma.github.io/Logging_1383/klagomål/A 42573-2022 FSC-klagomål.docx", "A 42573-2022")</f>
        <v/>
      </c>
      <c r="AB37">
        <f>HYPERLINK("https://klasma.github.io/Logging_1383/klagomålsmail/A 42573-2022 FSC-klagomål mail.docx", "A 42573-2022")</f>
        <v/>
      </c>
      <c r="AC37">
        <f>HYPERLINK("https://klasma.github.io/Logging_1383/tillsyn/A 42573-2022 tillsynsbegäran.docx", "A 42573-2022")</f>
        <v/>
      </c>
      <c r="AD37">
        <f>HYPERLINK("https://klasma.github.io/Logging_1383/tillsynsmail/A 42573-2022 tillsynsbegäran mail.docx", "A 42573-2022")</f>
        <v/>
      </c>
      <c r="AE37">
        <f>HYPERLINK("https://klasma.github.io/Logging_1383/fåglar/A 42573-2022 prioriterade fågelarter.docx", "A 42573-2022")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46313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46313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46313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46313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46313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46313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46313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46313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46313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46313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46313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46313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46313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46313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46313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46313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46313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46313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46313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46313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46313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46313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46313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46313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46313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46313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46313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46313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46313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46313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46313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46313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46313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46313</v>
      </c>
      <c r="F71" t="inlineStr">
        <is>
          <t>HALLANDS LÄN</t>
        </is>
      </c>
      <c r="G71" t="inlineStr">
        <is>
          <t>VARBERG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46313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46313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46313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46313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46313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46313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46313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46313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45300</v>
      </c>
      <c r="E80" s="1" t="n">
        <v>46313</v>
      </c>
      <c r="F80" t="inlineStr">
        <is>
          <t>HALLANDS LÄN</t>
        </is>
      </c>
      <c r="G80" t="inlineStr">
        <is>
          <t>VARBERG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46313</v>
      </c>
      <c r="F81" t="inlineStr">
        <is>
          <t>HALLANDS LÄN</t>
        </is>
      </c>
      <c r="G81" t="inlineStr">
        <is>
          <t>VARBERG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46313</v>
      </c>
      <c r="F82" t="inlineStr">
        <is>
          <t>HALLANDS LÄN</t>
        </is>
      </c>
      <c r="G82" t="inlineStr">
        <is>
          <t>VARBERG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46313</v>
      </c>
      <c r="F83" t="inlineStr">
        <is>
          <t>HALLANDS LÄN</t>
        </is>
      </c>
      <c r="G83" t="inlineStr">
        <is>
          <t>VARBERG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46313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46313</v>
      </c>
      <c r="F85" t="inlineStr">
        <is>
          <t>HALLANDS LÄN</t>
        </is>
      </c>
      <c r="G85" t="inlineStr">
        <is>
          <t>VARBERG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45743</v>
      </c>
      <c r="E86" s="1" t="n">
        <v>46313</v>
      </c>
      <c r="F86" t="inlineStr">
        <is>
          <t>HALLANDS LÄN</t>
        </is>
      </c>
      <c r="G86" t="inlineStr">
        <is>
          <t>VARBERG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46313</v>
      </c>
      <c r="F87" t="inlineStr">
        <is>
          <t>HALLANDS LÄN</t>
        </is>
      </c>
      <c r="G87" t="inlineStr">
        <is>
          <t>VARBERG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45455</v>
      </c>
      <c r="E88" s="1" t="n">
        <v>46313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46313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46313</v>
      </c>
      <c r="F90" t="inlineStr">
        <is>
          <t>HALLANDS LÄN</t>
        </is>
      </c>
      <c r="G90" t="inlineStr">
        <is>
          <t>VARBERG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46313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46313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44649</v>
      </c>
      <c r="E93" s="1" t="n">
        <v>46313</v>
      </c>
      <c r="F93" t="inlineStr">
        <is>
          <t>HALLANDS LÄN</t>
        </is>
      </c>
      <c r="G93" t="inlineStr">
        <is>
          <t>VARBERG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46313</v>
      </c>
      <c r="F94" t="inlineStr">
        <is>
          <t>HALLANDS LÄN</t>
        </is>
      </c>
      <c r="G94" t="inlineStr">
        <is>
          <t>VARBERG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46313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45487</v>
      </c>
      <c r="E96" s="1" t="n">
        <v>46313</v>
      </c>
      <c r="F96" t="inlineStr">
        <is>
          <t>HALLANDS LÄN</t>
        </is>
      </c>
      <c r="G96" t="inlineStr">
        <is>
          <t>VARBERG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45313</v>
      </c>
      <c r="E97" s="1" t="n">
        <v>46313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46313</v>
      </c>
      <c r="F98" t="inlineStr">
        <is>
          <t>HALLANDS LÄN</t>
        </is>
      </c>
      <c r="G98" t="inlineStr">
        <is>
          <t>VARBERG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46313</v>
      </c>
      <c r="F99" t="inlineStr">
        <is>
          <t>HALLANDS LÄN</t>
        </is>
      </c>
      <c r="G99" t="inlineStr">
        <is>
          <t>VARBERG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46313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46313</v>
      </c>
      <c r="F101" t="inlineStr">
        <is>
          <t>HALLANDS LÄN</t>
        </is>
      </c>
      <c r="G101" t="inlineStr">
        <is>
          <t>VARBERG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46313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46313</v>
      </c>
      <c r="F103" t="inlineStr">
        <is>
          <t>HALLANDS LÄN</t>
        </is>
      </c>
      <c r="G103" t="inlineStr">
        <is>
          <t>VARBERG</t>
        </is>
      </c>
      <c r="I103" t="n">
        <v>9.9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46313</v>
      </c>
      <c r="F104" t="inlineStr">
        <is>
          <t>HALLANDS LÄN</t>
        </is>
      </c>
      <c r="G104" t="inlineStr">
        <is>
          <t>VARBERG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46313</v>
      </c>
      <c r="F105" t="inlineStr">
        <is>
          <t>HALLANDS LÄN</t>
        </is>
      </c>
      <c r="G105" t="inlineStr">
        <is>
          <t>VARBERG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45310</v>
      </c>
      <c r="E106" s="1" t="n">
        <v>46313</v>
      </c>
      <c r="F106" t="inlineStr">
        <is>
          <t>HALLANDS LÄN</t>
        </is>
      </c>
      <c r="G106" t="inlineStr">
        <is>
          <t>VARBERG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46313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46313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46313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46313</v>
      </c>
      <c r="F110" t="inlineStr">
        <is>
          <t>HALLANDS LÄN</t>
        </is>
      </c>
      <c r="G110" t="inlineStr">
        <is>
          <t>VARBERG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46313</v>
      </c>
      <c r="F111" t="inlineStr">
        <is>
          <t>HALLANDS LÄN</t>
        </is>
      </c>
      <c r="G111" t="inlineStr">
        <is>
          <t>VARBERG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46313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46313</v>
      </c>
      <c r="F113" t="inlineStr">
        <is>
          <t>HALLANDS LÄN</t>
        </is>
      </c>
      <c r="G113" t="inlineStr">
        <is>
          <t>VARBERG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46313</v>
      </c>
      <c r="F114" t="inlineStr">
        <is>
          <t>HALLANDS LÄN</t>
        </is>
      </c>
      <c r="G114" t="inlineStr">
        <is>
          <t>VARBERG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46313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46313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46313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45736</v>
      </c>
      <c r="E118" s="1" t="n">
        <v>46313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10229-2023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44980</v>
      </c>
      <c r="E119" s="1" t="n">
        <v>46313</v>
      </c>
      <c r="F119" t="inlineStr">
        <is>
          <t>HALLANDS LÄN</t>
        </is>
      </c>
      <c r="G119" t="inlineStr">
        <is>
          <t>VARBERG</t>
        </is>
      </c>
      <c r="H119" t="inlineStr">
        <is>
          <t>Övriga statliga verk och myndigheter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46313</v>
      </c>
      <c r="F120" t="inlineStr">
        <is>
          <t>HALLANDS LÄN</t>
        </is>
      </c>
      <c r="G120" t="inlineStr">
        <is>
          <t>VARBERG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44886</v>
      </c>
      <c r="E121" s="1" t="n">
        <v>46313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46313</v>
      </c>
      <c r="F122" t="inlineStr">
        <is>
          <t>HALLANDS LÄN</t>
        </is>
      </c>
      <c r="G122" t="inlineStr">
        <is>
          <t>VARBERG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46313</v>
      </c>
      <c r="F123" t="inlineStr">
        <is>
          <t>HALLANDS LÄN</t>
        </is>
      </c>
      <c r="G123" t="inlineStr">
        <is>
          <t>VARBERG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46313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45623</v>
      </c>
      <c r="E125" s="1" t="n">
        <v>46313</v>
      </c>
      <c r="F125" t="inlineStr">
        <is>
          <t>HALLANDS LÄN</t>
        </is>
      </c>
      <c r="G125" t="inlineStr">
        <is>
          <t>VARBERG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46313</v>
      </c>
      <c r="F126" t="inlineStr">
        <is>
          <t>HALLANDS LÄN</t>
        </is>
      </c>
      <c r="G126" t="inlineStr">
        <is>
          <t>VARBERG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46313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46313</v>
      </c>
      <c r="F128" t="inlineStr">
        <is>
          <t>HALLANDS LÄN</t>
        </is>
      </c>
      <c r="G128" t="inlineStr">
        <is>
          <t>VARBERG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46313</v>
      </c>
      <c r="F129" t="inlineStr">
        <is>
          <t>HALLANDS LÄN</t>
        </is>
      </c>
      <c r="G129" t="inlineStr">
        <is>
          <t>VARBERG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46313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46313</v>
      </c>
      <c r="F131" t="inlineStr">
        <is>
          <t>HALLANDS LÄN</t>
        </is>
      </c>
      <c r="G131" t="inlineStr">
        <is>
          <t>VARBERG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46313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46313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46313</v>
      </c>
      <c r="F134" t="inlineStr">
        <is>
          <t>HALLANDS LÄN</t>
        </is>
      </c>
      <c r="G134" t="inlineStr">
        <is>
          <t>VARBERG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46313</v>
      </c>
      <c r="F135" t="inlineStr">
        <is>
          <t>HALLANDS LÄN</t>
        </is>
      </c>
      <c r="G135" t="inlineStr">
        <is>
          <t>VARBERG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46313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46313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35018-2025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45851</v>
      </c>
      <c r="E138" s="1" t="n">
        <v>46313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45897</v>
      </c>
      <c r="E139" s="1" t="n">
        <v>46313</v>
      </c>
      <c r="F139" t="inlineStr">
        <is>
          <t>HALLANDS LÄN</t>
        </is>
      </c>
      <c r="G139" t="inlineStr">
        <is>
          <t>VARBERG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45852</v>
      </c>
      <c r="E140" s="1" t="n">
        <v>46313</v>
      </c>
      <c r="F140" t="inlineStr">
        <is>
          <t>HALLANDS LÄN</t>
        </is>
      </c>
      <c r="G140" t="inlineStr">
        <is>
          <t>VARBERG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46313</v>
      </c>
      <c r="F141" t="inlineStr">
        <is>
          <t>HALLANDS LÄN</t>
        </is>
      </c>
      <c r="G141" t="inlineStr">
        <is>
          <t>VARBERG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46313</v>
      </c>
      <c r="F142" t="inlineStr">
        <is>
          <t>HALLANDS LÄN</t>
        </is>
      </c>
      <c r="G142" t="inlineStr">
        <is>
          <t>VARBERG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46313</v>
      </c>
      <c r="F143" t="inlineStr">
        <is>
          <t>HALLANDS LÄN</t>
        </is>
      </c>
      <c r="G143" t="inlineStr">
        <is>
          <t>VARBERG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46313</v>
      </c>
      <c r="F144" t="inlineStr">
        <is>
          <t>HALLANDS LÄN</t>
        </is>
      </c>
      <c r="G144" t="inlineStr">
        <is>
          <t>VARBERG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46313</v>
      </c>
      <c r="F145" t="inlineStr">
        <is>
          <t>HALLANDS LÄN</t>
        </is>
      </c>
      <c r="G145" t="inlineStr">
        <is>
          <t>VARBERG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46313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46313</v>
      </c>
      <c r="F147" t="inlineStr">
        <is>
          <t>HALLANDS LÄN</t>
        </is>
      </c>
      <c r="G147" t="inlineStr">
        <is>
          <t>VARBERG</t>
        </is>
      </c>
      <c r="I147" t="n">
        <v>18.8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46313</v>
      </c>
      <c r="F148" t="inlineStr">
        <is>
          <t>HALLANDS LÄN</t>
        </is>
      </c>
      <c r="G148" t="inlineStr">
        <is>
          <t>VARBERG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46313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46313</v>
      </c>
      <c r="F150" t="inlineStr">
        <is>
          <t>HALLANDS LÄN</t>
        </is>
      </c>
      <c r="G150" t="inlineStr">
        <is>
          <t>VARBERG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46313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46313</v>
      </c>
      <c r="F152" t="inlineStr">
        <is>
          <t>HALLANDS LÄN</t>
        </is>
      </c>
      <c r="G152" t="inlineStr">
        <is>
          <t>VARBERG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46313</v>
      </c>
      <c r="F153" t="inlineStr">
        <is>
          <t>HALLANDS LÄN</t>
        </is>
      </c>
      <c r="G153" t="inlineStr">
        <is>
          <t>VARBERG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46313</v>
      </c>
      <c r="F154" t="inlineStr">
        <is>
          <t>HALLANDS LÄN</t>
        </is>
      </c>
      <c r="G154" t="inlineStr">
        <is>
          <t>VARBERG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46313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46313</v>
      </c>
      <c r="F156" t="inlineStr">
        <is>
          <t>HALLANDS LÄN</t>
        </is>
      </c>
      <c r="G156" t="inlineStr">
        <is>
          <t>VARBERG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46313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46313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46313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46313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45392</v>
      </c>
      <c r="E161" s="1" t="n">
        <v>46313</v>
      </c>
      <c r="F161" t="inlineStr">
        <is>
          <t>HALLANDS LÄN</t>
        </is>
      </c>
      <c r="G161" t="inlineStr">
        <is>
          <t>VARBERG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44837</v>
      </c>
      <c r="E162" s="1" t="n">
        <v>46313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46313</v>
      </c>
      <c r="F163" t="inlineStr">
        <is>
          <t>HALLANDS LÄN</t>
        </is>
      </c>
      <c r="G163" t="inlineStr">
        <is>
          <t>VARBERG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46313</v>
      </c>
      <c r="F164" t="inlineStr">
        <is>
          <t>HALLANDS LÄN</t>
        </is>
      </c>
      <c r="G164" t="inlineStr">
        <is>
          <t>VARBERG</t>
        </is>
      </c>
      <c r="H164" t="inlineStr">
        <is>
          <t>Kyrkan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46313</v>
      </c>
      <c r="F165" t="inlineStr">
        <is>
          <t>HALLANDS LÄN</t>
        </is>
      </c>
      <c r="G165" t="inlineStr">
        <is>
          <t>VARBERG</t>
        </is>
      </c>
      <c r="I165" t="n">
        <v>8.1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46313</v>
      </c>
      <c r="F166" t="inlineStr">
        <is>
          <t>HALLANDS LÄN</t>
        </is>
      </c>
      <c r="G166" t="inlineStr">
        <is>
          <t>VARBERG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46313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46313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46313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46313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46313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46313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46313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46313</v>
      </c>
      <c r="F174" t="inlineStr">
        <is>
          <t>HALLANDS LÄN</t>
        </is>
      </c>
      <c r="G174" t="inlineStr">
        <is>
          <t>VARBERG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46313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46313</v>
      </c>
      <c r="F176" t="inlineStr">
        <is>
          <t>HALLANDS LÄN</t>
        </is>
      </c>
      <c r="G176" t="inlineStr">
        <is>
          <t>VARBERG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46313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45055</v>
      </c>
      <c r="E178" s="1" t="n">
        <v>46313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46313</v>
      </c>
      <c r="F179" t="inlineStr">
        <is>
          <t>HALLANDS LÄN</t>
        </is>
      </c>
      <c r="G179" t="inlineStr">
        <is>
          <t>VARBERG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46313</v>
      </c>
      <c r="F180" t="inlineStr">
        <is>
          <t>HALLANDS LÄN</t>
        </is>
      </c>
      <c r="G180" t="inlineStr">
        <is>
          <t>VARBERG</t>
        </is>
      </c>
      <c r="H180" t="inlineStr">
        <is>
          <t>Kyrkan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45881</v>
      </c>
      <c r="E181" s="1" t="n">
        <v>46313</v>
      </c>
      <c r="F181" t="inlineStr">
        <is>
          <t>HALLANDS LÄN</t>
        </is>
      </c>
      <c r="G181" t="inlineStr">
        <is>
          <t>VARBERG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46313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45328</v>
      </c>
      <c r="E183" s="1" t="n">
        <v>46313</v>
      </c>
      <c r="F183" t="inlineStr">
        <is>
          <t>HALLANDS LÄN</t>
        </is>
      </c>
      <c r="G183" t="inlineStr">
        <is>
          <t>VARBERG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46313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46313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45404</v>
      </c>
      <c r="E186" s="1" t="n">
        <v>46313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46313</v>
      </c>
      <c r="F187" t="inlineStr">
        <is>
          <t>HALLANDS LÄN</t>
        </is>
      </c>
      <c r="G187" t="inlineStr">
        <is>
          <t>VARBERG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46313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64203-2023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46313</v>
      </c>
      <c r="F189" t="inlineStr">
        <is>
          <t>HALLANDS LÄN</t>
        </is>
      </c>
      <c r="G189" t="inlineStr">
        <is>
          <t>VARBERG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46313</v>
      </c>
      <c r="F190" t="inlineStr">
        <is>
          <t>HALLANDS LÄN</t>
        </is>
      </c>
      <c r="G190" t="inlineStr">
        <is>
          <t>VARBERG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46313</v>
      </c>
      <c r="F191" t="inlineStr">
        <is>
          <t>HALLANDS LÄN</t>
        </is>
      </c>
      <c r="G191" t="inlineStr">
        <is>
          <t>VARBERG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46313</v>
      </c>
      <c r="F192" t="inlineStr">
        <is>
          <t>HALLANDS LÄN</t>
        </is>
      </c>
      <c r="G192" t="inlineStr">
        <is>
          <t>VARBERG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46313</v>
      </c>
      <c r="F193" t="inlineStr">
        <is>
          <t>HALLANDS LÄN</t>
        </is>
      </c>
      <c r="G193" t="inlineStr">
        <is>
          <t>VARBERG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46313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46313</v>
      </c>
      <c r="F195" t="inlineStr">
        <is>
          <t>HALLANDS LÄN</t>
        </is>
      </c>
      <c r="G195" t="inlineStr">
        <is>
          <t>VARBERG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46313</v>
      </c>
      <c r="F196" t="inlineStr">
        <is>
          <t>HALLANDS LÄN</t>
        </is>
      </c>
      <c r="G196" t="inlineStr">
        <is>
          <t>VARBERG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48006-2025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46313</v>
      </c>
      <c r="F197" t="inlineStr">
        <is>
          <t>HALLANDS LÄN</t>
        </is>
      </c>
      <c r="G197" t="inlineStr">
        <is>
          <t>VARBERG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46313</v>
      </c>
      <c r="F198" t="inlineStr">
        <is>
          <t>HALLANDS LÄN</t>
        </is>
      </c>
      <c r="G198" t="inlineStr">
        <is>
          <t>VARBERG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46313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46313</v>
      </c>
      <c r="F200" t="inlineStr">
        <is>
          <t>HALLANDS LÄN</t>
        </is>
      </c>
      <c r="G200" t="inlineStr">
        <is>
          <t>VARBERG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46313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46313</v>
      </c>
      <c r="F202" t="inlineStr">
        <is>
          <t>HALLANDS LÄN</t>
        </is>
      </c>
      <c r="G202" t="inlineStr">
        <is>
          <t>VARBERG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46313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46313</v>
      </c>
      <c r="F204" t="inlineStr">
        <is>
          <t>HALLANDS LÄN</t>
        </is>
      </c>
      <c r="G204" t="inlineStr">
        <is>
          <t>VARBERG</t>
        </is>
      </c>
      <c r="H204" t="inlineStr">
        <is>
          <t>Kyrkan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46313</v>
      </c>
      <c r="F205" t="inlineStr">
        <is>
          <t>HALLANDS LÄN</t>
        </is>
      </c>
      <c r="G205" t="inlineStr">
        <is>
          <t>VARBERG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46313</v>
      </c>
      <c r="F206" t="inlineStr">
        <is>
          <t>HALLANDS LÄN</t>
        </is>
      </c>
      <c r="G206" t="inlineStr">
        <is>
          <t>VARBERG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46313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46313</v>
      </c>
      <c r="F208" t="inlineStr">
        <is>
          <t>HALLANDS LÄN</t>
        </is>
      </c>
      <c r="G208" t="inlineStr">
        <is>
          <t>VARBERG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46313</v>
      </c>
      <c r="F209" t="inlineStr">
        <is>
          <t>HALLANDS LÄN</t>
        </is>
      </c>
      <c r="G209" t="inlineStr">
        <is>
          <t>VARBERG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46313</v>
      </c>
      <c r="F210" t="inlineStr">
        <is>
          <t>HALLANDS LÄN</t>
        </is>
      </c>
      <c r="G210" t="inlineStr">
        <is>
          <t>VARBERG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61075-2023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45261</v>
      </c>
      <c r="E211" s="1" t="n">
        <v>46313</v>
      </c>
      <c r="F211" t="inlineStr">
        <is>
          <t>HALLANDS LÄN</t>
        </is>
      </c>
      <c r="G211" t="inlineStr">
        <is>
          <t>VARBERG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9819-2022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44620</v>
      </c>
      <c r="E212" s="1" t="n">
        <v>46313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46313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46313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46313</v>
      </c>
      <c r="F215" t="inlineStr">
        <is>
          <t>HALLANDS LÄN</t>
        </is>
      </c>
      <c r="G215" t="inlineStr">
        <is>
          <t>VARBERG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46313</v>
      </c>
      <c r="F216" t="inlineStr">
        <is>
          <t>HALLANDS LÄN</t>
        </is>
      </c>
      <c r="G216" t="inlineStr">
        <is>
          <t>VARBERG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46313</v>
      </c>
      <c r="F217" t="inlineStr">
        <is>
          <t>HALLANDS LÄN</t>
        </is>
      </c>
      <c r="G217" t="inlineStr">
        <is>
          <t>VARBERG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46313</v>
      </c>
      <c r="F218" t="inlineStr">
        <is>
          <t>HALLANDS LÄN</t>
        </is>
      </c>
      <c r="G218" t="inlineStr">
        <is>
          <t>VARBERG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46313</v>
      </c>
      <c r="F219" t="inlineStr">
        <is>
          <t>HALLANDS LÄN</t>
        </is>
      </c>
      <c r="G219" t="inlineStr">
        <is>
          <t>VARBERG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46313</v>
      </c>
      <c r="F220" t="inlineStr">
        <is>
          <t>HALLANDS LÄN</t>
        </is>
      </c>
      <c r="G220" t="inlineStr">
        <is>
          <t>VARBERG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46313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46313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46313</v>
      </c>
      <c r="F223" t="inlineStr">
        <is>
          <t>HALLANDS LÄN</t>
        </is>
      </c>
      <c r="G223" t="inlineStr">
        <is>
          <t>VARBERG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46313</v>
      </c>
      <c r="F224" t="inlineStr">
        <is>
          <t>HALLANDS LÄN</t>
        </is>
      </c>
      <c r="G224" t="inlineStr">
        <is>
          <t>VARBERG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46313</v>
      </c>
      <c r="F225" t="inlineStr">
        <is>
          <t>HALLANDS LÄN</t>
        </is>
      </c>
      <c r="G225" t="inlineStr">
        <is>
          <t>VARBERG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46313</v>
      </c>
      <c r="F226" t="inlineStr">
        <is>
          <t>HALLANDS LÄN</t>
        </is>
      </c>
      <c r="G226" t="inlineStr">
        <is>
          <t>VARBERG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46313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46313</v>
      </c>
      <c r="F228" t="inlineStr">
        <is>
          <t>HALLANDS LÄN</t>
        </is>
      </c>
      <c r="G228" t="inlineStr">
        <is>
          <t>VARBERG</t>
        </is>
      </c>
      <c r="H228" t="inlineStr">
        <is>
          <t>Övriga statliga verk och myndigheter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46313</v>
      </c>
      <c r="F229" t="inlineStr">
        <is>
          <t>HALLANDS LÄN</t>
        </is>
      </c>
      <c r="G229" t="inlineStr">
        <is>
          <t>VARBERG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46313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46313</v>
      </c>
      <c r="F231" t="inlineStr">
        <is>
          <t>HALLANDS LÄN</t>
        </is>
      </c>
      <c r="G231" t="inlineStr">
        <is>
          <t>VARBERG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46313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46313</v>
      </c>
      <c r="F233" t="inlineStr">
        <is>
          <t>HALLANDS LÄN</t>
        </is>
      </c>
      <c r="G233" t="inlineStr">
        <is>
          <t>VARBERG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45717</v>
      </c>
      <c r="E234" s="1" t="n">
        <v>46313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46313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46313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46313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46313</v>
      </c>
      <c r="F238" t="inlineStr">
        <is>
          <t>HALLANDS LÄN</t>
        </is>
      </c>
      <c r="G238" t="inlineStr">
        <is>
          <t>VARBERG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45580</v>
      </c>
      <c r="E239" s="1" t="n">
        <v>46313</v>
      </c>
      <c r="F239" t="inlineStr">
        <is>
          <t>HALLANDS LÄN</t>
        </is>
      </c>
      <c r="G239" t="inlineStr">
        <is>
          <t>VARBERG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46313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46313</v>
      </c>
      <c r="F241" t="inlineStr">
        <is>
          <t>HALLANDS LÄN</t>
        </is>
      </c>
      <c r="G241" t="inlineStr">
        <is>
          <t>VARBERG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46313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46313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46313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46313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46313</v>
      </c>
      <c r="F246" t="inlineStr">
        <is>
          <t>HALLANDS LÄN</t>
        </is>
      </c>
      <c r="G246" t="inlineStr">
        <is>
          <t>VARBERG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46313</v>
      </c>
      <c r="F247" t="inlineStr">
        <is>
          <t>HALLANDS LÄN</t>
        </is>
      </c>
      <c r="G247" t="inlineStr">
        <is>
          <t>VARBERG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46313</v>
      </c>
      <c r="F248" t="inlineStr">
        <is>
          <t>HALLANDS LÄN</t>
        </is>
      </c>
      <c r="G248" t="inlineStr">
        <is>
          <t>VARBERG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46313</v>
      </c>
      <c r="F249" t="inlineStr">
        <is>
          <t>HALLANDS LÄN</t>
        </is>
      </c>
      <c r="G249" t="inlineStr">
        <is>
          <t>VARBERG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44910</v>
      </c>
      <c r="E250" s="1" t="n">
        <v>46313</v>
      </c>
      <c r="F250" t="inlineStr">
        <is>
          <t>HALLANDS LÄN</t>
        </is>
      </c>
      <c r="G250" t="inlineStr">
        <is>
          <t>VARBERG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44644</v>
      </c>
      <c r="E251" s="1" t="n">
        <v>46313</v>
      </c>
      <c r="F251" t="inlineStr">
        <is>
          <t>HALLANDS LÄN</t>
        </is>
      </c>
      <c r="G251" t="inlineStr">
        <is>
          <t>VARBERG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46313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46313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46313</v>
      </c>
      <c r="F254" t="inlineStr">
        <is>
          <t>HALLANDS LÄN</t>
        </is>
      </c>
      <c r="G254" t="inlineStr">
        <is>
          <t>VARBERG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46313</v>
      </c>
      <c r="F255" t="inlineStr">
        <is>
          <t>HALLANDS LÄN</t>
        </is>
      </c>
      <c r="G255" t="inlineStr">
        <is>
          <t>VARBERG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46313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46313</v>
      </c>
      <c r="F257" t="inlineStr">
        <is>
          <t>HALLANDS LÄN</t>
        </is>
      </c>
      <c r="G257" t="inlineStr">
        <is>
          <t>VARBERG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46313</v>
      </c>
      <c r="F258" t="inlineStr">
        <is>
          <t>HALLANDS LÄN</t>
        </is>
      </c>
      <c r="G258" t="inlineStr">
        <is>
          <t>VARBERG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46313</v>
      </c>
      <c r="F259" t="inlineStr">
        <is>
          <t>HALLANDS LÄN</t>
        </is>
      </c>
      <c r="G259" t="inlineStr">
        <is>
          <t>VARBERG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46313</v>
      </c>
      <c r="F260" t="inlineStr">
        <is>
          <t>HALLANDS LÄN</t>
        </is>
      </c>
      <c r="G260" t="inlineStr">
        <is>
          <t>VARBERG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46313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46024</v>
      </c>
      <c r="E262" s="1" t="n">
        <v>46313</v>
      </c>
      <c r="F262" t="inlineStr">
        <is>
          <t>HALLANDS LÄN</t>
        </is>
      </c>
      <c r="G262" t="inlineStr">
        <is>
          <t>VARBERG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46313</v>
      </c>
      <c r="F263" t="inlineStr">
        <is>
          <t>HALLANDS LÄN</t>
        </is>
      </c>
      <c r="G263" t="inlineStr">
        <is>
          <t>VARBERG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10940-2022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44628</v>
      </c>
      <c r="E264" s="1" t="n">
        <v>46313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46175</v>
      </c>
      <c r="E265" s="1" t="n">
        <v>46313</v>
      </c>
      <c r="F265" t="inlineStr">
        <is>
          <t>HALLANDS LÄN</t>
        </is>
      </c>
      <c r="G265" t="inlineStr">
        <is>
          <t>VARBERG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46313</v>
      </c>
      <c r="F266" t="inlineStr">
        <is>
          <t>HALLANDS LÄN</t>
        </is>
      </c>
      <c r="G266" t="inlineStr">
        <is>
          <t>VARBERG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46313</v>
      </c>
      <c r="F267" t="inlineStr">
        <is>
          <t>HALLANDS LÄN</t>
        </is>
      </c>
      <c r="G267" t="inlineStr">
        <is>
          <t>VARBERG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46313</v>
      </c>
      <c r="F268" t="inlineStr">
        <is>
          <t>HALLANDS LÄN</t>
        </is>
      </c>
      <c r="G268" t="inlineStr">
        <is>
          <t>VARBERG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46313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44652</v>
      </c>
      <c r="E270" s="1" t="n">
        <v>46313</v>
      </c>
      <c r="F270" t="inlineStr">
        <is>
          <t>HALLANDS LÄN</t>
        </is>
      </c>
      <c r="G270" t="inlineStr">
        <is>
          <t>VARBERG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44657</v>
      </c>
      <c r="E271" s="1" t="n">
        <v>46313</v>
      </c>
      <c r="F271" t="inlineStr">
        <is>
          <t>HALLANDS LÄN</t>
        </is>
      </c>
      <c r="G271" t="inlineStr">
        <is>
          <t>VARBERG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46313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46313</v>
      </c>
      <c r="F273" t="inlineStr">
        <is>
          <t>HALLANDS LÄN</t>
        </is>
      </c>
      <c r="G273" t="inlineStr">
        <is>
          <t>VARBERG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46047</v>
      </c>
      <c r="E274" s="1" t="n">
        <v>46313</v>
      </c>
      <c r="F274" t="inlineStr">
        <is>
          <t>HALLANDS LÄN</t>
        </is>
      </c>
      <c r="G274" t="inlineStr">
        <is>
          <t>VARBERG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46313</v>
      </c>
      <c r="F275" t="inlineStr">
        <is>
          <t>HALLANDS LÄN</t>
        </is>
      </c>
      <c r="G275" t="inlineStr">
        <is>
          <t>VARBERG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46313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46313</v>
      </c>
      <c r="F277" t="inlineStr">
        <is>
          <t>HALLANDS LÄN</t>
        </is>
      </c>
      <c r="G277" t="inlineStr">
        <is>
          <t>VARBERG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46313</v>
      </c>
      <c r="F278" t="inlineStr">
        <is>
          <t>HALLANDS LÄN</t>
        </is>
      </c>
      <c r="G278" t="inlineStr">
        <is>
          <t>VARBERG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46313</v>
      </c>
      <c r="F279" t="inlineStr">
        <is>
          <t>HALLANDS LÄN</t>
        </is>
      </c>
      <c r="G279" t="inlineStr">
        <is>
          <t>VARBERG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46313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46313</v>
      </c>
      <c r="F281" t="inlineStr">
        <is>
          <t>HALLANDS LÄN</t>
        </is>
      </c>
      <c r="G281" t="inlineStr">
        <is>
          <t>VARBERG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46313</v>
      </c>
      <c r="F282" t="inlineStr">
        <is>
          <t>HALLANDS LÄN</t>
        </is>
      </c>
      <c r="G282" t="inlineStr">
        <is>
          <t>VARBERG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46313</v>
      </c>
      <c r="F283" t="inlineStr">
        <is>
          <t>HALLANDS LÄN</t>
        </is>
      </c>
      <c r="G283" t="inlineStr">
        <is>
          <t>VARBERG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46313</v>
      </c>
      <c r="F284" t="inlineStr">
        <is>
          <t>HALLANDS LÄN</t>
        </is>
      </c>
      <c r="G284" t="inlineStr">
        <is>
          <t>VARBERG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46313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46313</v>
      </c>
      <c r="F286" t="inlineStr">
        <is>
          <t>HALLANDS LÄN</t>
        </is>
      </c>
      <c r="G286" t="inlineStr">
        <is>
          <t>VARBERG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44659</v>
      </c>
      <c r="E287" s="1" t="n">
        <v>46313</v>
      </c>
      <c r="F287" t="inlineStr">
        <is>
          <t>HALLANDS LÄN</t>
        </is>
      </c>
      <c r="G287" t="inlineStr">
        <is>
          <t>VARBERG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46313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64767-2023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46313</v>
      </c>
      <c r="F289" t="inlineStr">
        <is>
          <t>HALLANDS LÄN</t>
        </is>
      </c>
      <c r="G289" t="inlineStr">
        <is>
          <t>VARBERG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46313</v>
      </c>
      <c r="F290" t="inlineStr">
        <is>
          <t>HALLANDS LÄN</t>
        </is>
      </c>
      <c r="G290" t="inlineStr">
        <is>
          <t>VARBERG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46771-2022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44851</v>
      </c>
      <c r="E291" s="1" t="n">
        <v>46313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46313</v>
      </c>
      <c r="F292" t="inlineStr">
        <is>
          <t>HALLANDS LÄN</t>
        </is>
      </c>
      <c r="G292" t="inlineStr">
        <is>
          <t>VARBERG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46313</v>
      </c>
      <c r="F293" t="inlineStr">
        <is>
          <t>HALLANDS LÄN</t>
        </is>
      </c>
      <c r="G293" t="inlineStr">
        <is>
          <t>VARBERG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46313</v>
      </c>
      <c r="F294" t="inlineStr">
        <is>
          <t>HALLANDS LÄN</t>
        </is>
      </c>
      <c r="G294" t="inlineStr">
        <is>
          <t>VARBERG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46313</v>
      </c>
      <c r="F295" t="inlineStr">
        <is>
          <t>HALLANDS LÄN</t>
        </is>
      </c>
      <c r="G295" t="inlineStr">
        <is>
          <t>VARBERG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46313</v>
      </c>
      <c r="F296" t="inlineStr">
        <is>
          <t>HALLANDS LÄN</t>
        </is>
      </c>
      <c r="G296" t="inlineStr">
        <is>
          <t>VARBERG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46313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46313</v>
      </c>
      <c r="F298" t="inlineStr">
        <is>
          <t>HALLANDS LÄN</t>
        </is>
      </c>
      <c r="G298" t="inlineStr">
        <is>
          <t>VARBERG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46313</v>
      </c>
      <c r="F299" t="inlineStr">
        <is>
          <t>HALLANDS LÄN</t>
        </is>
      </c>
      <c r="G299" t="inlineStr">
        <is>
          <t>VARBERG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46313</v>
      </c>
      <c r="F300" t="inlineStr">
        <is>
          <t>HALLANDS LÄN</t>
        </is>
      </c>
      <c r="G300" t="inlineStr">
        <is>
          <t>VARBERG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46313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46313</v>
      </c>
      <c r="F302" t="inlineStr">
        <is>
          <t>HALLANDS LÄN</t>
        </is>
      </c>
      <c r="G302" t="inlineStr">
        <is>
          <t>VARBERG</t>
        </is>
      </c>
      <c r="H302" t="inlineStr">
        <is>
          <t>Kyrkan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10808-2024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46313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46313</v>
      </c>
      <c r="F304" t="inlineStr">
        <is>
          <t>HALLANDS LÄN</t>
        </is>
      </c>
      <c r="G304" t="inlineStr">
        <is>
          <t>VARBERG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46313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44734</v>
      </c>
      <c r="E306" s="1" t="n">
        <v>46313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46313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46313</v>
      </c>
      <c r="F308" t="inlineStr">
        <is>
          <t>HALLANDS LÄN</t>
        </is>
      </c>
      <c r="G308" t="inlineStr">
        <is>
          <t>VARBERG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46313</v>
      </c>
      <c r="F309" t="inlineStr">
        <is>
          <t>HALLANDS LÄN</t>
        </is>
      </c>
      <c r="G309" t="inlineStr">
        <is>
          <t>VARBERG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46313</v>
      </c>
      <c r="F310" t="inlineStr">
        <is>
          <t>HALLANDS LÄN</t>
        </is>
      </c>
      <c r="G310" t="inlineStr">
        <is>
          <t>VARBERG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45224</v>
      </c>
      <c r="E311" s="1" t="n">
        <v>46313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46313</v>
      </c>
      <c r="F312" t="inlineStr">
        <is>
          <t>HALLANDS LÄN</t>
        </is>
      </c>
      <c r="G312" t="inlineStr">
        <is>
          <t>VARBERG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46313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46313</v>
      </c>
      <c r="F314" t="inlineStr">
        <is>
          <t>HALLANDS LÄN</t>
        </is>
      </c>
      <c r="G314" t="inlineStr">
        <is>
          <t>VARBERG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46313</v>
      </c>
      <c r="F315" t="inlineStr">
        <is>
          <t>HALLANDS LÄN</t>
        </is>
      </c>
      <c r="G315" t="inlineStr">
        <is>
          <t>VARBERG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46313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46313</v>
      </c>
      <c r="F317" t="inlineStr">
        <is>
          <t>HALLANDS LÄN</t>
        </is>
      </c>
      <c r="G317" t="inlineStr">
        <is>
          <t>VARBERG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46313</v>
      </c>
      <c r="F318" t="inlineStr">
        <is>
          <t>HALLANDS LÄN</t>
        </is>
      </c>
      <c r="G318" t="inlineStr">
        <is>
          <t>VARBERG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46313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46313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46313</v>
      </c>
      <c r="F321" t="inlineStr">
        <is>
          <t>HALLANDS LÄN</t>
        </is>
      </c>
      <c r="G321" t="inlineStr">
        <is>
          <t>VARBERG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19130-2026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46132</v>
      </c>
      <c r="E322" s="1" t="n">
        <v>46313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45487</v>
      </c>
      <c r="E323" s="1" t="n">
        <v>46313</v>
      </c>
      <c r="F323" t="inlineStr">
        <is>
          <t>HALLANDS LÄN</t>
        </is>
      </c>
      <c r="G323" t="inlineStr">
        <is>
          <t>VARBERG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45434</v>
      </c>
      <c r="E324" s="1" t="n">
        <v>46313</v>
      </c>
      <c r="F324" t="inlineStr">
        <is>
          <t>HALLANDS LÄN</t>
        </is>
      </c>
      <c r="G324" t="inlineStr">
        <is>
          <t>VARBERG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46313</v>
      </c>
      <c r="F325" t="inlineStr">
        <is>
          <t>HALLANDS LÄN</t>
        </is>
      </c>
      <c r="G325" t="inlineStr">
        <is>
          <t>VARBERG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46313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46313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46313</v>
      </c>
      <c r="F328" t="inlineStr">
        <is>
          <t>HALLANDS LÄN</t>
        </is>
      </c>
      <c r="G328" t="inlineStr">
        <is>
          <t>VARBERG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46313</v>
      </c>
      <c r="F329" t="inlineStr">
        <is>
          <t>HALLANDS LÄN</t>
        </is>
      </c>
      <c r="G329" t="inlineStr">
        <is>
          <t>VARBERG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46313</v>
      </c>
      <c r="F330" t="inlineStr">
        <is>
          <t>HALLANDS LÄN</t>
        </is>
      </c>
      <c r="G330" t="inlineStr">
        <is>
          <t>VARBERG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46313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46313</v>
      </c>
      <c r="F332" t="inlineStr">
        <is>
          <t>HALLANDS LÄN</t>
        </is>
      </c>
      <c r="G332" t="inlineStr">
        <is>
          <t>VARBERG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46313</v>
      </c>
      <c r="F333" t="inlineStr">
        <is>
          <t>HALLANDS LÄN</t>
        </is>
      </c>
      <c r="G333" t="inlineStr">
        <is>
          <t>VARBERG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46313</v>
      </c>
      <c r="F334" t="inlineStr">
        <is>
          <t>HALLANDS LÄN</t>
        </is>
      </c>
      <c r="G334" t="inlineStr">
        <is>
          <t>VARBERG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46313</v>
      </c>
      <c r="F335" t="inlineStr">
        <is>
          <t>HALLANDS LÄN</t>
        </is>
      </c>
      <c r="G335" t="inlineStr">
        <is>
          <t>VARBERG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46210</v>
      </c>
      <c r="E336" s="1" t="n">
        <v>46313</v>
      </c>
      <c r="F336" t="inlineStr">
        <is>
          <t>HALLANDS LÄN</t>
        </is>
      </c>
      <c r="G336" t="inlineStr">
        <is>
          <t>VARBERG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44770</v>
      </c>
      <c r="E337" s="1" t="n">
        <v>46313</v>
      </c>
      <c r="F337" t="inlineStr">
        <is>
          <t>HALLANDS LÄN</t>
        </is>
      </c>
      <c r="G337" t="inlineStr">
        <is>
          <t>VARBERG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46313</v>
      </c>
      <c r="F338" t="inlineStr">
        <is>
          <t>HALLANDS LÄN</t>
        </is>
      </c>
      <c r="G338" t="inlineStr">
        <is>
          <t>VARBERG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46313</v>
      </c>
      <c r="F339" t="inlineStr">
        <is>
          <t>HALLANDS LÄN</t>
        </is>
      </c>
      <c r="G339" t="inlineStr">
        <is>
          <t>VARBERG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46210</v>
      </c>
      <c r="E340" s="1" t="n">
        <v>46313</v>
      </c>
      <c r="F340" t="inlineStr">
        <is>
          <t>HALLANDS LÄN</t>
        </is>
      </c>
      <c r="G340" t="inlineStr">
        <is>
          <t>VARBERG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46313</v>
      </c>
      <c r="F341" t="inlineStr">
        <is>
          <t>HALLANDS LÄN</t>
        </is>
      </c>
      <c r="G341" t="inlineStr">
        <is>
          <t>VARBERG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45422</v>
      </c>
      <c r="E342" s="1" t="n">
        <v>46313</v>
      </c>
      <c r="F342" t="inlineStr">
        <is>
          <t>HALLANDS LÄN</t>
        </is>
      </c>
      <c r="G342" t="inlineStr">
        <is>
          <t>VARBERG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46313</v>
      </c>
      <c r="F343" t="inlineStr">
        <is>
          <t>HALLANDS LÄN</t>
        </is>
      </c>
      <c r="G343" t="inlineStr">
        <is>
          <t>VARBERG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46313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46313</v>
      </c>
      <c r="F345" t="inlineStr">
        <is>
          <t>HALLANDS LÄN</t>
        </is>
      </c>
      <c r="G345" t="inlineStr">
        <is>
          <t>VARBERG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9614-2024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45361</v>
      </c>
      <c r="E346" s="1" t="n">
        <v>46313</v>
      </c>
      <c r="F346" t="inlineStr">
        <is>
          <t>HALLANDS LÄN</t>
        </is>
      </c>
      <c r="G346" t="inlineStr">
        <is>
          <t>VARBERG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51932-2024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45607</v>
      </c>
      <c r="E347" s="1" t="n">
        <v>46313</v>
      </c>
      <c r="F347" t="inlineStr">
        <is>
          <t>HALLANDS LÄN</t>
        </is>
      </c>
      <c r="G347" t="inlineStr">
        <is>
          <t>VARBERG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46313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46313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46313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46313</v>
      </c>
      <c r="F351" t="inlineStr">
        <is>
          <t>HALLANDS LÄN</t>
        </is>
      </c>
      <c r="G351" t="inlineStr">
        <is>
          <t>VARBERG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46313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46313</v>
      </c>
      <c r="F353" t="inlineStr">
        <is>
          <t>HALLANDS LÄN</t>
        </is>
      </c>
      <c r="G353" t="inlineStr">
        <is>
          <t>VARBERG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46313</v>
      </c>
      <c r="F354" t="inlineStr">
        <is>
          <t>HALLANDS LÄN</t>
        </is>
      </c>
      <c r="G354" t="inlineStr">
        <is>
          <t>VARBERG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46313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46313</v>
      </c>
      <c r="F356" t="inlineStr">
        <is>
          <t>HALLANDS LÄN</t>
        </is>
      </c>
      <c r="G356" t="inlineStr">
        <is>
          <t>VARBERG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45579</v>
      </c>
      <c r="E357" s="1" t="n">
        <v>46313</v>
      </c>
      <c r="F357" t="inlineStr">
        <is>
          <t>HALLANDS LÄN</t>
        </is>
      </c>
      <c r="G357" t="inlineStr">
        <is>
          <t>VARBERG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45457</v>
      </c>
      <c r="E358" s="1" t="n">
        <v>46313</v>
      </c>
      <c r="F358" t="inlineStr">
        <is>
          <t>HALLANDS LÄN</t>
        </is>
      </c>
      <c r="G358" t="inlineStr">
        <is>
          <t>VARBERG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15250-2025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45744</v>
      </c>
      <c r="E359" s="1" t="n">
        <v>46313</v>
      </c>
      <c r="F359" t="inlineStr">
        <is>
          <t>HALLANDS LÄN</t>
        </is>
      </c>
      <c r="G359" t="inlineStr">
        <is>
          <t>VARBERG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46234</v>
      </c>
      <c r="E360" s="1" t="n">
        <v>46313</v>
      </c>
      <c r="F360" t="inlineStr">
        <is>
          <t>HALLANDS LÄN</t>
        </is>
      </c>
      <c r="G360" t="inlineStr">
        <is>
          <t>VARBERG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46281</v>
      </c>
      <c r="E361" s="1" t="n">
        <v>46313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46313</v>
      </c>
      <c r="F362" t="inlineStr">
        <is>
          <t>HALLANDS LÄN</t>
        </is>
      </c>
      <c r="G362" t="inlineStr">
        <is>
          <t>VARBERG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46313</v>
      </c>
      <c r="F363" t="inlineStr">
        <is>
          <t>HALLANDS LÄN</t>
        </is>
      </c>
      <c r="G363" t="inlineStr">
        <is>
          <t>VARBERG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46313</v>
      </c>
      <c r="F364" t="inlineStr">
        <is>
          <t>HALLANDS LÄN</t>
        </is>
      </c>
      <c r="G364" t="inlineStr">
        <is>
          <t>VARBERG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46280</v>
      </c>
      <c r="E365" s="1" t="n">
        <v>46313</v>
      </c>
      <c r="F365" t="inlineStr">
        <is>
          <t>HALLANDS LÄN</t>
        </is>
      </c>
      <c r="G365" t="inlineStr">
        <is>
          <t>VARBERG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46313</v>
      </c>
      <c r="F366" t="inlineStr">
        <is>
          <t>HALLANDS LÄN</t>
        </is>
      </c>
      <c r="G366" t="inlineStr">
        <is>
          <t>VARBERG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46313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46313</v>
      </c>
      <c r="F368" t="inlineStr">
        <is>
          <t>HALLANDS LÄN</t>
        </is>
      </c>
      <c r="G368" t="inlineStr">
        <is>
          <t>VARBERG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46313</v>
      </c>
      <c r="F369" t="inlineStr">
        <is>
          <t>HALLANDS LÄN</t>
        </is>
      </c>
      <c r="G369" t="inlineStr">
        <is>
          <t>VARBERG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46313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46313</v>
      </c>
      <c r="F371" t="inlineStr">
        <is>
          <t>HALLANDS LÄN</t>
        </is>
      </c>
      <c r="G371" t="inlineStr">
        <is>
          <t>VARBERG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45058</v>
      </c>
      <c r="E372" s="1" t="n">
        <v>46313</v>
      </c>
      <c r="F372" t="inlineStr">
        <is>
          <t>HALLANDS LÄN</t>
        </is>
      </c>
      <c r="G372" t="inlineStr">
        <is>
          <t>VARBERG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45184</v>
      </c>
      <c r="E373" s="1" t="n">
        <v>46313</v>
      </c>
      <c r="F373" t="inlineStr">
        <is>
          <t>HALLANDS LÄN</t>
        </is>
      </c>
      <c r="G373" t="inlineStr">
        <is>
          <t>VARBERG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46313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46313</v>
      </c>
      <c r="F375" t="inlineStr">
        <is>
          <t>HALLANDS LÄN</t>
        </is>
      </c>
      <c r="G375" t="inlineStr">
        <is>
          <t>VARBERG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45177</v>
      </c>
      <c r="E376" s="1" t="n">
        <v>46313</v>
      </c>
      <c r="F376" t="inlineStr">
        <is>
          <t>HALLANDS LÄN</t>
        </is>
      </c>
      <c r="G376" t="inlineStr">
        <is>
          <t>VARBERG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44607</v>
      </c>
      <c r="E377" s="1" t="n">
        <v>46313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46313</v>
      </c>
      <c r="F378" t="inlineStr">
        <is>
          <t>HALLANDS LÄN</t>
        </is>
      </c>
      <c r="G378" t="inlineStr">
        <is>
          <t>VARBERG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46288</v>
      </c>
      <c r="E379" s="1" t="n">
        <v>46313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46313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45722</v>
      </c>
      <c r="E381" s="1" t="n">
        <v>46313</v>
      </c>
      <c r="F381" t="inlineStr">
        <is>
          <t>HALLANDS LÄN</t>
        </is>
      </c>
      <c r="G381" t="inlineStr">
        <is>
          <t>VARBERG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46313</v>
      </c>
      <c r="F382" t="inlineStr">
        <is>
          <t>HALLANDS LÄN</t>
        </is>
      </c>
      <c r="G382" t="inlineStr">
        <is>
          <t>VARBERG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46313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46313</v>
      </c>
      <c r="F384" t="inlineStr">
        <is>
          <t>HALLANDS LÄN</t>
        </is>
      </c>
      <c r="G384" t="inlineStr">
        <is>
          <t>VARBERG</t>
        </is>
      </c>
      <c r="H384" t="inlineStr">
        <is>
          <t>Övriga statliga verk och myndigheter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46313</v>
      </c>
      <c r="F385" t="inlineStr">
        <is>
          <t>HALLANDS LÄN</t>
        </is>
      </c>
      <c r="G385" t="inlineStr">
        <is>
          <t>VARBERG</t>
        </is>
      </c>
      <c r="H385" t="inlineStr">
        <is>
          <t>Övriga statliga verk och myndigheter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45086</v>
      </c>
      <c r="E386" s="1" t="n">
        <v>46313</v>
      </c>
      <c r="F386" t="inlineStr">
        <is>
          <t>HALLANDS LÄN</t>
        </is>
      </c>
      <c r="G386" t="inlineStr">
        <is>
          <t>VARBERG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46313</v>
      </c>
      <c r="F387" t="inlineStr">
        <is>
          <t>HALLANDS LÄN</t>
        </is>
      </c>
      <c r="G387" t="inlineStr">
        <is>
          <t>VARBERG</t>
        </is>
      </c>
      <c r="H387" t="inlineStr">
        <is>
          <t>Övriga statliga verk och myndigheter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45754</v>
      </c>
      <c r="E388" s="1" t="n">
        <v>46313</v>
      </c>
      <c r="F388" t="inlineStr">
        <is>
          <t>HALLANDS LÄN</t>
        </is>
      </c>
      <c r="G388" t="inlineStr">
        <is>
          <t>VARBERG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46251</v>
      </c>
      <c r="E389" s="1" t="n">
        <v>46313</v>
      </c>
      <c r="F389" t="inlineStr">
        <is>
          <t>HALLANDS LÄN</t>
        </is>
      </c>
      <c r="G389" t="inlineStr">
        <is>
          <t>VARBERG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45637</v>
      </c>
      <c r="E390" s="1" t="n">
        <v>46313</v>
      </c>
      <c r="F390" t="inlineStr">
        <is>
          <t>HALLANDS LÄN</t>
        </is>
      </c>
      <c r="G390" t="inlineStr">
        <is>
          <t>VARBERG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46295</v>
      </c>
      <c r="E391" s="1" t="n">
        <v>46313</v>
      </c>
      <c r="F391" t="inlineStr">
        <is>
          <t>HALLANDS LÄN</t>
        </is>
      </c>
      <c r="G391" t="inlineStr">
        <is>
          <t>VARBERG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46295</v>
      </c>
      <c r="E392" s="1" t="n">
        <v>46313</v>
      </c>
      <c r="F392" t="inlineStr">
        <is>
          <t>HALLANDS LÄN</t>
        </is>
      </c>
      <c r="G392" t="inlineStr">
        <is>
          <t>VARBERG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45131</v>
      </c>
      <c r="E393" s="1" t="n">
        <v>46313</v>
      </c>
      <c r="F393" t="inlineStr">
        <is>
          <t>HALLANDS LÄN</t>
        </is>
      </c>
      <c r="G393" t="inlineStr">
        <is>
          <t>VARBERG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46313</v>
      </c>
      <c r="F394" t="inlineStr">
        <is>
          <t>HALLANDS LÄN</t>
        </is>
      </c>
      <c r="G394" t="inlineStr">
        <is>
          <t>VARBERG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45727</v>
      </c>
      <c r="E395" s="1" t="n">
        <v>46313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46313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46313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37872-2026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46279</v>
      </c>
      <c r="E398" s="1" t="n">
        <v>46313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45665</v>
      </c>
      <c r="E399" s="1" t="n">
        <v>46313</v>
      </c>
      <c r="F399" t="inlineStr">
        <is>
          <t>HALLANDS LÄN</t>
        </is>
      </c>
      <c r="G399" t="inlineStr">
        <is>
          <t>VARBERG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46313</v>
      </c>
      <c r="F400" t="inlineStr">
        <is>
          <t>HALLANDS LÄN</t>
        </is>
      </c>
      <c r="G400" t="inlineStr">
        <is>
          <t>VARBERG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46313</v>
      </c>
      <c r="F401" t="inlineStr">
        <is>
          <t>HALLANDS LÄN</t>
        </is>
      </c>
      <c r="G401" t="inlineStr">
        <is>
          <t>VARBERG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46301</v>
      </c>
      <c r="E402" s="1" t="n">
        <v>46313</v>
      </c>
      <c r="F402" t="inlineStr">
        <is>
          <t>HALLANDS LÄN</t>
        </is>
      </c>
      <c r="G402" t="inlineStr">
        <is>
          <t>VARBERG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46313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46300</v>
      </c>
      <c r="E404" s="1" t="n">
        <v>46313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46299</v>
      </c>
      <c r="E405" s="1" t="n">
        <v>46313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46313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46313</v>
      </c>
      <c r="F407" t="inlineStr">
        <is>
          <t>HALLANDS LÄN</t>
        </is>
      </c>
      <c r="G407" t="inlineStr">
        <is>
          <t>VARBERG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46313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45791</v>
      </c>
      <c r="E409" s="1" t="n">
        <v>46313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45378</v>
      </c>
      <c r="E410" s="1" t="n">
        <v>46313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44793-2024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45574</v>
      </c>
      <c r="E411" s="1" t="n">
        <v>46313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46313</v>
      </c>
      <c r="F412" t="inlineStr">
        <is>
          <t>HALLANDS LÄN</t>
        </is>
      </c>
      <c r="G412" t="inlineStr">
        <is>
          <t>VARBERG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46313</v>
      </c>
      <c r="F413" t="inlineStr">
        <is>
          <t>HALLANDS LÄN</t>
        </is>
      </c>
      <c r="G413" t="inlineStr">
        <is>
          <t>VARBERG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45336</v>
      </c>
      <c r="E414" s="1" t="n">
        <v>46313</v>
      </c>
      <c r="F414" t="inlineStr">
        <is>
          <t>HALLANDS LÄN</t>
        </is>
      </c>
      <c r="G414" t="inlineStr">
        <is>
          <t>VARBERG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45804</v>
      </c>
      <c r="E415" s="1" t="n">
        <v>46313</v>
      </c>
      <c r="F415" t="inlineStr">
        <is>
          <t>HALLANDS LÄN</t>
        </is>
      </c>
      <c r="G415" t="inlineStr">
        <is>
          <t>VARBERG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26117-2025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45805</v>
      </c>
      <c r="E416" s="1" t="n">
        <v>46313</v>
      </c>
      <c r="F416" t="inlineStr">
        <is>
          <t>HALLANDS LÄN</t>
        </is>
      </c>
      <c r="G416" t="inlineStr">
        <is>
          <t>VARBERG</t>
        </is>
      </c>
      <c r="H416" t="inlineStr">
        <is>
          <t>Kommuner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46313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28092-2024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45476</v>
      </c>
      <c r="E418" s="1" t="n">
        <v>46313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46313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45813</v>
      </c>
      <c r="E420" s="1" t="n">
        <v>46313</v>
      </c>
      <c r="F420" t="inlineStr">
        <is>
          <t>HALLANDS LÄN</t>
        </is>
      </c>
      <c r="G420" t="inlineStr">
        <is>
          <t>VARBERG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46313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46313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46313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36424-2026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46269</v>
      </c>
      <c r="E424" s="1" t="n">
        <v>46313</v>
      </c>
      <c r="F424" t="inlineStr">
        <is>
          <t>HALLANDS LÄN</t>
        </is>
      </c>
      <c r="G424" t="inlineStr">
        <is>
          <t>VARBERG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46313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46311</v>
      </c>
      <c r="E426" s="1" t="n">
        <v>46313</v>
      </c>
      <c r="F426" t="inlineStr">
        <is>
          <t>HALLANDS LÄN</t>
        </is>
      </c>
      <c r="G426" t="inlineStr">
        <is>
          <t>VARBERG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45825</v>
      </c>
      <c r="E427" s="1" t="n">
        <v>46313</v>
      </c>
      <c r="F427" t="inlineStr">
        <is>
          <t>HALLANDS LÄN</t>
        </is>
      </c>
      <c r="G427" t="inlineStr">
        <is>
          <t>VARBERG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46313</v>
      </c>
      <c r="F428" t="inlineStr">
        <is>
          <t>HALLANDS LÄN</t>
        </is>
      </c>
      <c r="G428" t="inlineStr">
        <is>
          <t>VARBERG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46313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46313</v>
      </c>
      <c r="F430" t="inlineStr">
        <is>
          <t>HALLANDS LÄN</t>
        </is>
      </c>
      <c r="G430" t="inlineStr">
        <is>
          <t>VARBERG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46313</v>
      </c>
      <c r="F431" t="inlineStr">
        <is>
          <t>HALLANDS LÄN</t>
        </is>
      </c>
      <c r="G431" t="inlineStr">
        <is>
          <t>VARBERG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46269</v>
      </c>
      <c r="E432" s="1" t="n">
        <v>46313</v>
      </c>
      <c r="F432" t="inlineStr">
        <is>
          <t>HALLANDS LÄN</t>
        </is>
      </c>
      <c r="G432" t="inlineStr">
        <is>
          <t>VARBERG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46313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45839</v>
      </c>
      <c r="E434" s="1" t="n">
        <v>46313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46313</v>
      </c>
      <c r="F435" t="inlineStr">
        <is>
          <t>HALLANDS LÄN</t>
        </is>
      </c>
      <c r="G435" t="inlineStr">
        <is>
          <t>VARBERG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46313</v>
      </c>
      <c r="F436" t="inlineStr">
        <is>
          <t>HALLANDS LÄN</t>
        </is>
      </c>
      <c r="G436" t="inlineStr">
        <is>
          <t>VARBERG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46313</v>
      </c>
      <c r="F437" t="inlineStr">
        <is>
          <t>HALLANDS LÄN</t>
        </is>
      </c>
      <c r="G437" t="inlineStr">
        <is>
          <t>VARBERG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46313</v>
      </c>
      <c r="F438" t="inlineStr">
        <is>
          <t>HALLANDS LÄN</t>
        </is>
      </c>
      <c r="G438" t="inlineStr">
        <is>
          <t>VARBERG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46313</v>
      </c>
      <c r="F439" t="inlineStr">
        <is>
          <t>HALLANDS LÄN</t>
        </is>
      </c>
      <c r="G439" t="inlineStr">
        <is>
          <t>VARBERG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46313</v>
      </c>
      <c r="F440" t="inlineStr">
        <is>
          <t>HALLANDS LÄN</t>
        </is>
      </c>
      <c r="G440" t="inlineStr">
        <is>
          <t>VARBERG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46313</v>
      </c>
      <c r="F441" t="inlineStr">
        <is>
          <t>HALLANDS LÄN</t>
        </is>
      </c>
      <c r="G441" t="inlineStr">
        <is>
          <t>VARBERG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45200</v>
      </c>
      <c r="E442" s="1" t="n">
        <v>46313</v>
      </c>
      <c r="F442" t="inlineStr">
        <is>
          <t>HALLANDS LÄN</t>
        </is>
      </c>
      <c r="G442" t="inlineStr">
        <is>
          <t>VARBERG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44829</v>
      </c>
      <c r="E443" s="1" t="n">
        <v>46313</v>
      </c>
      <c r="F443" t="inlineStr">
        <is>
          <t>HALLANDS LÄN</t>
        </is>
      </c>
      <c r="G443" t="inlineStr">
        <is>
          <t>VARBERG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46313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46313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72361-2021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44545</v>
      </c>
      <c r="E446" s="1" t="n">
        <v>46313</v>
      </c>
      <c r="F446" t="inlineStr">
        <is>
          <t>HALLANDS LÄN</t>
        </is>
      </c>
      <c r="G446" t="inlineStr">
        <is>
          <t>VARBERG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46313</v>
      </c>
      <c r="F447" t="inlineStr">
        <is>
          <t>HALLANDS LÄN</t>
        </is>
      </c>
      <c r="G447" t="inlineStr">
        <is>
          <t>VARBERG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44767</v>
      </c>
      <c r="E448" s="1" t="n">
        <v>46313</v>
      </c>
      <c r="F448" t="inlineStr">
        <is>
          <t>HALLANDS LÄN</t>
        </is>
      </c>
      <c r="G448" t="inlineStr">
        <is>
          <t>VARBERG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44982</v>
      </c>
      <c r="E449" s="1" t="n">
        <v>46313</v>
      </c>
      <c r="F449" t="inlineStr">
        <is>
          <t>HALLANDS LÄN</t>
        </is>
      </c>
      <c r="G449" t="inlineStr">
        <is>
          <t>VARBERG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10428-2024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46313</v>
      </c>
      <c r="F450" t="inlineStr">
        <is>
          <t>HALLANDS LÄN</t>
        </is>
      </c>
      <c r="G450" t="inlineStr">
        <is>
          <t>VARBERG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46313</v>
      </c>
      <c r="F451" t="inlineStr">
        <is>
          <t>HALLANDS LÄN</t>
        </is>
      </c>
      <c r="G451" t="inlineStr">
        <is>
          <t>VARBERG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44949</v>
      </c>
      <c r="E452" s="1" t="n">
        <v>46313</v>
      </c>
      <c r="F452" t="inlineStr">
        <is>
          <t>HALLANDS LÄN</t>
        </is>
      </c>
      <c r="G452" t="inlineStr">
        <is>
          <t>VARBERG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46313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46313</v>
      </c>
      <c r="F454" t="inlineStr">
        <is>
          <t>HALLANDS LÄN</t>
        </is>
      </c>
      <c r="G454" t="inlineStr">
        <is>
          <t>VARBERG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46313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49760-2024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45597</v>
      </c>
      <c r="E456" s="1" t="n">
        <v>46313</v>
      </c>
      <c r="F456" t="inlineStr">
        <is>
          <t>HALLANDS LÄN</t>
        </is>
      </c>
      <c r="G456" t="inlineStr">
        <is>
          <t>VARBERG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46313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46313</v>
      </c>
      <c r="F458" t="inlineStr">
        <is>
          <t>HALLANDS LÄN</t>
        </is>
      </c>
      <c r="G458" t="inlineStr">
        <is>
          <t>VARBERG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46313</v>
      </c>
      <c r="F459" t="inlineStr">
        <is>
          <t>HALLANDS LÄN</t>
        </is>
      </c>
      <c r="G459" t="inlineStr">
        <is>
          <t>VARBERG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46313</v>
      </c>
      <c r="F460" t="inlineStr">
        <is>
          <t>HALLANDS LÄN</t>
        </is>
      </c>
      <c r="G460" t="inlineStr">
        <is>
          <t>VARBERG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45771</v>
      </c>
      <c r="E461" s="1" t="n">
        <v>46313</v>
      </c>
      <c r="F461" t="inlineStr">
        <is>
          <t>HALLANDS LÄN</t>
        </is>
      </c>
      <c r="G461" t="inlineStr">
        <is>
          <t>VARBERG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46313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46313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46313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46313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46313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46313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46313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46313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46313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46313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46313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46313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46313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46313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46313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46313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46313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46313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2026-10-18T08:03:49Z</dcterms:created>
  <dcterms:modified xmlns:dcterms="http://purl.org/dc/terms/" xmlns:xsi="http://www.w3.org/2001/XMLSchema-instance" xsi:type="dcterms:W3CDTF">2026-10-18T08:03:50Z</dcterms:modified>
</cp:coreProperties>
</file>