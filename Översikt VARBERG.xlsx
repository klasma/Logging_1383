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46286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46286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46286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46286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46286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46286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46286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46286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46286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46286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46286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46286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46286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46286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46286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46286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HYPERLINK("https://klasma.github.io/Logging_1383/artfynd/A 15095-2025 artfynd.xlsx", "A 15095-2025")</f>
        <v/>
      </c>
      <c r="X24">
        <f>HYPERLINK("https://klasma.github.io/Logging_1383/kartor/A 15095-2025 karta.png", "A 15095-2025")</f>
        <v/>
      </c>
      <c r="Y24">
        <f>HYPERLINK("https://klasma.github.io/Logging_1383/kartor_geotiff/A 15095-2025 georefererad karta.tif", "A 15095-2025")</f>
        <v/>
      </c>
      <c r="AA24">
        <f>HYPERLINK("https://klasma.github.io/Logging_1383/klagomål/A 15095-2025 FSC-klagomål.docx", "A 15095-2025")</f>
        <v/>
      </c>
      <c r="AB24">
        <f>HYPERLINK("https://klasma.github.io/Logging_1383/klagomålsmail/A 15095-2025 FSC-klagomål mail.docx", "A 15095-2025")</f>
        <v/>
      </c>
      <c r="AC24">
        <f>HYPERLINK("https://klasma.github.io/Logging_1383/tillsyn/A 15095-2025 tillsynsbegäran.docx", "A 15095-2025")</f>
        <v/>
      </c>
      <c r="AD24">
        <f>HYPERLINK("https://klasma.github.io/Logging_1383/tillsynsmail/A 15095-2025 tillsynsbegäran mail.docx", "A 15095-2025")</f>
        <v/>
      </c>
    </row>
    <row r="25" ht="15" customHeight="1">
      <c r="A25" t="inlineStr">
        <is>
          <t>A 8906-2025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46286</v>
      </c>
      <c r="F25" t="inlineStr">
        <is>
          <t>HALLANDS LÄN</t>
        </is>
      </c>
      <c r="G25" t="inlineStr">
        <is>
          <t>VARBERG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Flytsvalting</t>
        </is>
      </c>
      <c r="W25">
        <f>HYPERLINK("https://klasma.github.io/Logging_1383/artfynd/A 8906-2025 artfynd.xlsx", "A 8906-2025")</f>
        <v/>
      </c>
      <c r="X25">
        <f>HYPERLINK("https://klasma.github.io/Logging_1383/kartor/A 8906-2025 karta.png", "A 8906-2025")</f>
        <v/>
      </c>
      <c r="Y25">
        <f>HYPERLINK("https://klasma.github.io/Logging_1383/kartor_geotiff/A 8906-2025 georefererad karta.tif", "A 8906-2025")</f>
        <v/>
      </c>
      <c r="AA25">
        <f>HYPERLINK("https://klasma.github.io/Logging_1383/klagomål/A 8906-2025 FSC-klagomål.docx", "A 8906-2025")</f>
        <v/>
      </c>
      <c r="AB25">
        <f>HYPERLINK("https://klasma.github.io/Logging_1383/klagomålsmail/A 8906-2025 FSC-klagomål mail.docx", "A 8906-2025")</f>
        <v/>
      </c>
      <c r="AC25">
        <f>HYPERLINK("https://klasma.github.io/Logging_1383/tillsyn/A 8906-2025 tillsynsbegäran.docx", "A 8906-2025")</f>
        <v/>
      </c>
      <c r="AD25">
        <f>HYPERLINK("https://klasma.github.io/Logging_1383/tillsynsmail/A 8906-2025 tillsynsbegäran mail.docx", "A 8906-2025")</f>
        <v/>
      </c>
    </row>
    <row r="26" ht="15" customHeight="1">
      <c r="A26" t="inlineStr">
        <is>
          <t>A 42724-2025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45908</v>
      </c>
      <c r="E26" s="1" t="n">
        <v>46286</v>
      </c>
      <c r="F26" t="inlineStr">
        <is>
          <t>HALLANDS LÄN</t>
        </is>
      </c>
      <c r="G26" t="inlineStr">
        <is>
          <t>VARBERG</t>
        </is>
      </c>
      <c r="I26" t="n">
        <v>4.2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Hasselmus</t>
        </is>
      </c>
      <c r="W26">
        <f>HYPERLINK("https://klasma.github.io/Logging_1383/artfynd/A 42724-2025 artfynd.xlsx", "A 42724-2025")</f>
        <v/>
      </c>
      <c r="X26">
        <f>HYPERLINK("https://klasma.github.io/Logging_1383/kartor/A 42724-2025 karta.png", "A 42724-2025")</f>
        <v/>
      </c>
      <c r="Y26">
        <f>HYPERLINK("https://klasma.github.io/Logging_1383/kartor_geotiff/A 42724-2025 georefererad karta.tif", "A 42724-2025")</f>
        <v/>
      </c>
      <c r="AA26">
        <f>HYPERLINK("https://klasma.github.io/Logging_1383/klagomål/A 42724-2025 FSC-klagomål.docx", "A 42724-2025")</f>
        <v/>
      </c>
      <c r="AB26">
        <f>HYPERLINK("https://klasma.github.io/Logging_1383/klagomålsmail/A 42724-2025 FSC-klagomål mail.docx", "A 42724-2025")</f>
        <v/>
      </c>
      <c r="AC26">
        <f>HYPERLINK("https://klasma.github.io/Logging_1383/tillsyn/A 42724-2025 tillsynsbegäran.docx", "A 42724-2025")</f>
        <v/>
      </c>
      <c r="AD26">
        <f>HYPERLINK("https://klasma.github.io/Logging_1383/tillsynsmail/A 42724-2025 tillsynsbegäran mail.docx", "A 42724-2025")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46286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46286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46286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46286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46286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46286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46286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46286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10751-2025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45722</v>
      </c>
      <c r="E35" s="1" t="n">
        <v>46286</v>
      </c>
      <c r="F35" t="inlineStr">
        <is>
          <t>HALLANDS LÄN</t>
        </is>
      </c>
      <c r="G35" t="inlineStr">
        <is>
          <t>VARBERG</t>
        </is>
      </c>
      <c r="I35" t="n">
        <v>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HYPERLINK("https://klasma.github.io/Logging_1383/artfynd/A 10751-2025 artfynd.xlsx", "A 10751-2025")</f>
        <v/>
      </c>
      <c r="X35">
        <f>HYPERLINK("https://klasma.github.io/Logging_1383/kartor/A 10751-2025 karta.png", "A 10751-2025")</f>
        <v/>
      </c>
      <c r="Y35">
        <f>HYPERLINK("https://klasma.github.io/Logging_1383/kartor_geotiff/A 10751-2025 georefererad karta.tif", "A 10751-2025")</f>
        <v/>
      </c>
      <c r="AA35">
        <f>HYPERLINK("https://klasma.github.io/Logging_1383/klagomål/A 10751-2025 FSC-klagomål.docx", "A 10751-2025")</f>
        <v/>
      </c>
      <c r="AB35">
        <f>HYPERLINK("https://klasma.github.io/Logging_1383/klagomålsmail/A 10751-2025 FSC-klagomål mail.docx", "A 10751-2025")</f>
        <v/>
      </c>
      <c r="AC35">
        <f>HYPERLINK("https://klasma.github.io/Logging_1383/tillsyn/A 10751-2025 tillsynsbegäran.docx", "A 10751-2025")</f>
        <v/>
      </c>
      <c r="AD35">
        <f>HYPERLINK("https://klasma.github.io/Logging_1383/tillsynsmail/A 10751-2025 tillsynsbegäran mail.docx", "A 10751-2025")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46286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46286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A 20045-2024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45434</v>
      </c>
      <c r="E38" s="1" t="n">
        <v>46286</v>
      </c>
      <c r="F38" t="inlineStr">
        <is>
          <t>HALLANDS LÄN</t>
        </is>
      </c>
      <c r="G38" t="inlineStr">
        <is>
          <t>VARBERG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HYPERLINK("https://klasma.github.io/Logging_1383/artfynd/A 20045-2024 artfynd.xlsx", "A 20045-2024")</f>
        <v/>
      </c>
      <c r="X38">
        <f>HYPERLINK("https://klasma.github.io/Logging_1383/kartor/A 20045-2024 karta.png", "A 20045-2024")</f>
        <v/>
      </c>
      <c r="Y38">
        <f>HYPERLINK("https://klasma.github.io/Logging_1383/kartor_geotiff/A 20045-2024 georefererad karta.tif", "A 20045-2024")</f>
        <v/>
      </c>
      <c r="AA38">
        <f>HYPERLINK("https://klasma.github.io/Logging_1383/klagomål/A 20045-2024 FSC-klagomål.docx", "A 20045-2024")</f>
        <v/>
      </c>
      <c r="AB38">
        <f>HYPERLINK("https://klasma.github.io/Logging_1383/klagomålsmail/A 20045-2024 FSC-klagomål mail.docx", "A 20045-2024")</f>
        <v/>
      </c>
      <c r="AC38">
        <f>HYPERLINK("https://klasma.github.io/Logging_1383/tillsyn/A 20045-2024 tillsynsbegäran.docx", "A 20045-2024")</f>
        <v/>
      </c>
      <c r="AD38">
        <f>HYPERLINK("https://klasma.github.io/Logging_1383/tillsynsmail/A 20045-2024 tillsynsbegäran mail.docx", "A 20045-2024")</f>
        <v/>
      </c>
    </row>
    <row r="39" ht="15" customHeight="1">
      <c r="A39" t="inlineStr">
        <is>
          <t>A 42573-2022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46286</v>
      </c>
      <c r="F39" t="inlineStr">
        <is>
          <t>HALLANDS LÄN</t>
        </is>
      </c>
      <c r="G39" t="inlineStr">
        <is>
          <t>VARBERG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Brun glada</t>
        </is>
      </c>
      <c r="W39">
        <f>HYPERLINK("https://klasma.github.io/Logging_1383/artfynd/A 42573-2022 artfynd.xlsx", "A 42573-2022")</f>
        <v/>
      </c>
      <c r="X39">
        <f>HYPERLINK("https://klasma.github.io/Logging_1383/kartor/A 42573-2022 karta.png", "A 42573-2022")</f>
        <v/>
      </c>
      <c r="Y39">
        <f>HYPERLINK("https://klasma.github.io/Logging_1383/kartor_geotiff/A 42573-2022 georefererad karta.tif", "A 42573-2022")</f>
        <v/>
      </c>
      <c r="AA39">
        <f>HYPERLINK("https://klasma.github.io/Logging_1383/klagomål/A 42573-2022 FSC-klagomål.docx", "A 42573-2022")</f>
        <v/>
      </c>
      <c r="AB39">
        <f>HYPERLINK("https://klasma.github.io/Logging_1383/klagomålsmail/A 42573-2022 FSC-klagomål mail.docx", "A 42573-2022")</f>
        <v/>
      </c>
      <c r="AC39">
        <f>HYPERLINK("https://klasma.github.io/Logging_1383/tillsyn/A 42573-2022 tillsynsbegäran.docx", "A 42573-2022")</f>
        <v/>
      </c>
      <c r="AD39">
        <f>HYPERLINK("https://klasma.github.io/Logging_1383/tillsynsmail/A 42573-2022 tillsynsbegäran mail.docx", "A 42573-2022")</f>
        <v/>
      </c>
      <c r="AE39">
        <f>HYPERLINK("https://klasma.github.io/Logging_1383/fåglar/A 42573-2022 prioriterade fågelarter.docx", "A 42573-2022")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46286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1760-2022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44655</v>
      </c>
      <c r="E41" s="1" t="n">
        <v>46286</v>
      </c>
      <c r="F41" t="inlineStr">
        <is>
          <t>HALLANDS LÄN</t>
        </is>
      </c>
      <c r="G41" t="inlineStr">
        <is>
          <t>VARBERG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HYPERLINK("https://klasma.github.io/Logging_1383/artfynd/S 1760-2022 artfynd.xlsx", "S 1760-2022")</f>
        <v/>
      </c>
      <c r="X41">
        <f>HYPERLINK("https://klasma.github.io/Logging_1383/kartor/S 1760-2022 karta.png", "S 1760-2022")</f>
        <v/>
      </c>
      <c r="Y41">
        <f>HYPERLINK("https://klasma.github.io/Logging_1383/kartor_geotiff/S 1760-2022 georefererad karta.tif", "S 1760-2022")</f>
        <v/>
      </c>
      <c r="AA41">
        <f>HYPERLINK("https://klasma.github.io/Logging_1383/klagomål/S 1760-2022 FSC-klagomål.docx", "S 1760-2022")</f>
        <v/>
      </c>
      <c r="AB41">
        <f>HYPERLINK("https://klasma.github.io/Logging_1383/klagomålsmail/S 1760-2022 FSC-klagomål mail.docx", "S 1760-2022")</f>
        <v/>
      </c>
      <c r="AC41">
        <f>HYPERLINK("https://klasma.github.io/Logging_1383/tillsyn/S 1760-2022 tillsynsbegäran.docx", "S 1760-2022")</f>
        <v/>
      </c>
      <c r="AD41">
        <f>HYPERLINK("https://klasma.github.io/Logging_1383/tillsynsmail/S 1760-2022 tillsynsbegäran mail.docx", "S 1760-2022")</f>
        <v/>
      </c>
    </row>
    <row r="42" ht="15" customHeight="1">
      <c r="A42" t="inlineStr">
        <is>
          <t>S 76-2024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45300</v>
      </c>
      <c r="E42" s="1" t="n">
        <v>46286</v>
      </c>
      <c r="F42" t="inlineStr">
        <is>
          <t>HALLANDS LÄN</t>
        </is>
      </c>
      <c r="G42" t="inlineStr">
        <is>
          <t>VARBERG</t>
        </is>
      </c>
      <c r="I42" t="n">
        <v>27.6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HYPERLINK("https://klasma.github.io/Logging_1383/artfynd/S 76-2024 artfynd.xlsx", "S 76-2024")</f>
        <v/>
      </c>
      <c r="X42">
        <f>HYPERLINK("https://klasma.github.io/Logging_1383/kartor/S 76-2024 karta.png", "S 76-2024")</f>
        <v/>
      </c>
      <c r="Y42">
        <f>HYPERLINK("https://klasma.github.io/Logging_1383/kartor_geotiff/S 76-2024 georefererad karta.tif", "S 76-2024")</f>
        <v/>
      </c>
      <c r="AA42">
        <f>HYPERLINK("https://klasma.github.io/Logging_1383/klagomål/S 76-2024 FSC-klagomål.docx", "S 76-2024")</f>
        <v/>
      </c>
      <c r="AB42">
        <f>HYPERLINK("https://klasma.github.io/Logging_1383/klagomålsmail/S 76-2024 FSC-klagomål mail.docx", "S 76-2024")</f>
        <v/>
      </c>
      <c r="AC42">
        <f>HYPERLINK("https://klasma.github.io/Logging_1383/tillsyn/S 76-2024 tillsynsbegäran.docx", "S 76-2024")</f>
        <v/>
      </c>
      <c r="AD42">
        <f>HYPERLINK("https://klasma.github.io/Logging_1383/tillsynsmail/S 76-2024 tillsynsbegäran mail.docx", "S 76-2024")</f>
        <v/>
      </c>
    </row>
    <row r="43" ht="15" customHeight="1">
      <c r="A43" t="inlineStr">
        <is>
          <t>S 295-2024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45324</v>
      </c>
      <c r="E43" s="1" t="n">
        <v>46286</v>
      </c>
      <c r="F43" t="inlineStr">
        <is>
          <t>HALLANDS LÄN</t>
        </is>
      </c>
      <c r="G43" t="inlineStr">
        <is>
          <t>VARBERG</t>
        </is>
      </c>
      <c r="I43" t="n">
        <v>18.7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Sparvuggla</t>
        </is>
      </c>
      <c r="W43">
        <f>HYPERLINK("https://klasma.github.io/Logging_1383/artfynd/S 295-2024 artfynd.xlsx", "S 295-2024")</f>
        <v/>
      </c>
      <c r="X43">
        <f>HYPERLINK("https://klasma.github.io/Logging_1383/kartor/S 295-2024 karta.png", "S 295-2024")</f>
        <v/>
      </c>
      <c r="Y43">
        <f>HYPERLINK("https://klasma.github.io/Logging_1383/kartor_geotiff/S 295-2024 georefererad karta.tif", "S 295-2024")</f>
        <v/>
      </c>
      <c r="AA43">
        <f>HYPERLINK("https://klasma.github.io/Logging_1383/klagomål/S 295-2024 FSC-klagomål.docx", "S 295-2024")</f>
        <v/>
      </c>
      <c r="AB43">
        <f>HYPERLINK("https://klasma.github.io/Logging_1383/klagomålsmail/S 295-2024 FSC-klagomål mail.docx", "S 295-2024")</f>
        <v/>
      </c>
      <c r="AC43">
        <f>HYPERLINK("https://klasma.github.io/Logging_1383/tillsyn/S 295-2024 tillsynsbegäran.docx", "S 295-2024")</f>
        <v/>
      </c>
      <c r="AD43">
        <f>HYPERLINK("https://klasma.github.io/Logging_1383/tillsynsmail/S 295-2024 tillsynsbegäran mail.docx", "S 295-2024")</f>
        <v/>
      </c>
      <c r="AE43">
        <f>HYPERLINK("https://klasma.github.io/Logging_1383/fåglar/S 295-2024 prioriterade fågelarter.docx", "S 295-2024")</f>
        <v/>
      </c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46286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23913-2022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44722</v>
      </c>
      <c r="E45" s="1" t="n">
        <v>46286</v>
      </c>
      <c r="F45" t="inlineStr">
        <is>
          <t>HALLANDS LÄN</t>
        </is>
      </c>
      <c r="G45" t="inlineStr">
        <is>
          <t>VARBERG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46286</v>
      </c>
      <c r="F46" t="inlineStr">
        <is>
          <t>HALLANDS LÄN</t>
        </is>
      </c>
      <c r="G46" t="inlineStr">
        <is>
          <t>VARBERG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46286</v>
      </c>
      <c r="F47" t="inlineStr">
        <is>
          <t>HALLANDS LÄN</t>
        </is>
      </c>
      <c r="G47" t="inlineStr">
        <is>
          <t>VARBERG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46286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63613-2021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44509</v>
      </c>
      <c r="E49" s="1" t="n">
        <v>46286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49697-2022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44862</v>
      </c>
      <c r="E50" s="1" t="n">
        <v>46286</v>
      </c>
      <c r="F50" t="inlineStr">
        <is>
          <t>HALLANDS LÄN</t>
        </is>
      </c>
      <c r="G50" t="inlineStr">
        <is>
          <t>VARBERG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46286</v>
      </c>
      <c r="F51" t="inlineStr">
        <is>
          <t>HALLANDS LÄN</t>
        </is>
      </c>
      <c r="G51" t="inlineStr">
        <is>
          <t>VARBERG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44581</v>
      </c>
      <c r="E52" s="1" t="n">
        <v>46286</v>
      </c>
      <c r="F52" t="inlineStr">
        <is>
          <t>HALLANDS LÄN</t>
        </is>
      </c>
      <c r="G52" t="inlineStr">
        <is>
          <t>VARBERG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46286</v>
      </c>
      <c r="F53" t="inlineStr">
        <is>
          <t>HALLANDS LÄN</t>
        </is>
      </c>
      <c r="G53" t="inlineStr">
        <is>
          <t>VARBERG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46286</v>
      </c>
      <c r="F54" t="inlineStr">
        <is>
          <t>HALLANDS LÄN</t>
        </is>
      </c>
      <c r="G54" t="inlineStr">
        <is>
          <t>VARBERG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46286</v>
      </c>
      <c r="F55" t="inlineStr">
        <is>
          <t>HALLANDS LÄN</t>
        </is>
      </c>
      <c r="G55" t="inlineStr">
        <is>
          <t>VARBERG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46286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46286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44797</v>
      </c>
      <c r="E58" s="1" t="n">
        <v>46286</v>
      </c>
      <c r="F58" t="inlineStr">
        <is>
          <t>HALLANDS LÄN</t>
        </is>
      </c>
      <c r="G58" t="inlineStr">
        <is>
          <t>VARBERG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44657</v>
      </c>
      <c r="E59" s="1" t="n">
        <v>46286</v>
      </c>
      <c r="F59" t="inlineStr">
        <is>
          <t>HALLANDS LÄN</t>
        </is>
      </c>
      <c r="G59" t="inlineStr">
        <is>
          <t>VARBERG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46286</v>
      </c>
      <c r="F60" t="inlineStr">
        <is>
          <t>HALLANDS LÄN</t>
        </is>
      </c>
      <c r="G60" t="inlineStr">
        <is>
          <t>VARBERG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46286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46286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44638</v>
      </c>
      <c r="E63" s="1" t="n">
        <v>46286</v>
      </c>
      <c r="F63" t="inlineStr">
        <is>
          <t>HALLANDS LÄN</t>
        </is>
      </c>
      <c r="G63" t="inlineStr">
        <is>
          <t>VARBERG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46286</v>
      </c>
      <c r="F64" t="inlineStr">
        <is>
          <t>HALLANDS LÄN</t>
        </is>
      </c>
      <c r="G64" t="inlineStr">
        <is>
          <t>VARBERG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44699</v>
      </c>
      <c r="E65" s="1" t="n">
        <v>46286</v>
      </c>
      <c r="F65" t="inlineStr">
        <is>
          <t>HALLANDS LÄN</t>
        </is>
      </c>
      <c r="G65" t="inlineStr">
        <is>
          <t>VARBERG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46286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46286</v>
      </c>
      <c r="F67" t="inlineStr">
        <is>
          <t>HALLANDS LÄN</t>
        </is>
      </c>
      <c r="G67" t="inlineStr">
        <is>
          <t>VARBERG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46286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46286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46286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46286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46286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46286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46286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46286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46286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46286</v>
      </c>
      <c r="F77" t="inlineStr">
        <is>
          <t>HALLANDS LÄN</t>
        </is>
      </c>
      <c r="G77" t="inlineStr">
        <is>
          <t>VARBERG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46286</v>
      </c>
      <c r="F78" t="inlineStr">
        <is>
          <t>HALLANDS LÄN</t>
        </is>
      </c>
      <c r="G78" t="inlineStr">
        <is>
          <t>VARBERG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20011-2023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46286</v>
      </c>
      <c r="F79" t="inlineStr">
        <is>
          <t>HALLANDS LÄN</t>
        </is>
      </c>
      <c r="G79" t="inlineStr">
        <is>
          <t>VARBERG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46286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46286</v>
      </c>
      <c r="F81" t="inlineStr">
        <is>
          <t>HALLANDS LÄN</t>
        </is>
      </c>
      <c r="G81" t="inlineStr">
        <is>
          <t>VARBERG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46286</v>
      </c>
      <c r="F82" t="inlineStr">
        <is>
          <t>HALLANDS LÄN</t>
        </is>
      </c>
      <c r="G82" t="inlineStr">
        <is>
          <t>VARBERG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46286</v>
      </c>
      <c r="F83" t="inlineStr">
        <is>
          <t>HALLANDS LÄN</t>
        </is>
      </c>
      <c r="G83" t="inlineStr">
        <is>
          <t>VARBERG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45341</v>
      </c>
      <c r="E84" s="1" t="n">
        <v>46286</v>
      </c>
      <c r="F84" t="inlineStr">
        <is>
          <t>HALLANDS LÄN</t>
        </is>
      </c>
      <c r="G84" t="inlineStr">
        <is>
          <t>VARBERG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2464-2024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45313</v>
      </c>
      <c r="E85" s="1" t="n">
        <v>46286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46286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46286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46286</v>
      </c>
      <c r="F88" t="inlineStr">
        <is>
          <t>HALLANDS LÄN</t>
        </is>
      </c>
      <c r="G88" t="inlineStr">
        <is>
          <t>VARBERG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46286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46286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46286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46286</v>
      </c>
      <c r="F92" t="inlineStr">
        <is>
          <t>HALLANDS LÄN</t>
        </is>
      </c>
      <c r="G92" t="inlineStr">
        <is>
          <t>VARBERG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46286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45672</v>
      </c>
      <c r="E94" s="1" t="n">
        <v>46286</v>
      </c>
      <c r="F94" t="inlineStr">
        <is>
          <t>HALLANDS LÄN</t>
        </is>
      </c>
      <c r="G94" t="inlineStr">
        <is>
          <t>VARBERG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46286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46286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46286</v>
      </c>
      <c r="F97" t="inlineStr">
        <is>
          <t>HALLANDS LÄN</t>
        </is>
      </c>
      <c r="G97" t="inlineStr">
        <is>
          <t>VARBERG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46286</v>
      </c>
      <c r="F98" t="inlineStr">
        <is>
          <t>HALLANDS LÄN</t>
        </is>
      </c>
      <c r="G98" t="inlineStr">
        <is>
          <t>VARBERG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46286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45749</v>
      </c>
      <c r="E100" s="1" t="n">
        <v>46286</v>
      </c>
      <c r="F100" t="inlineStr">
        <is>
          <t>HALLANDS LÄN</t>
        </is>
      </c>
      <c r="G100" t="inlineStr">
        <is>
          <t>VARBERG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46286</v>
      </c>
      <c r="F101" t="inlineStr">
        <is>
          <t>HALLANDS LÄN</t>
        </is>
      </c>
      <c r="G101" t="inlineStr">
        <is>
          <t>VARBERG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46286</v>
      </c>
      <c r="F102" t="inlineStr">
        <is>
          <t>HALLANDS LÄN</t>
        </is>
      </c>
      <c r="G102" t="inlineStr">
        <is>
          <t>VARBERG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45487</v>
      </c>
      <c r="E103" s="1" t="n">
        <v>46286</v>
      </c>
      <c r="F103" t="inlineStr">
        <is>
          <t>HALLANDS LÄN</t>
        </is>
      </c>
      <c r="G103" t="inlineStr">
        <is>
          <t>VARBERG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46286</v>
      </c>
      <c r="F104" t="inlineStr">
        <is>
          <t>HALLANDS LÄN</t>
        </is>
      </c>
      <c r="G104" t="inlineStr">
        <is>
          <t>VARBERG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46286</v>
      </c>
      <c r="F105" t="inlineStr">
        <is>
          <t>HALLANDS LÄN</t>
        </is>
      </c>
      <c r="G105" t="inlineStr">
        <is>
          <t>VARBERG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46286</v>
      </c>
      <c r="F106" t="inlineStr">
        <is>
          <t>HALLANDS LÄN</t>
        </is>
      </c>
      <c r="G106" t="inlineStr">
        <is>
          <t>VARBERG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46286</v>
      </c>
      <c r="F107" t="inlineStr">
        <is>
          <t>HALLANDS LÄN</t>
        </is>
      </c>
      <c r="G107" t="inlineStr">
        <is>
          <t>VARBERG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46286</v>
      </c>
      <c r="F108" t="inlineStr">
        <is>
          <t>HALLANDS LÄN</t>
        </is>
      </c>
      <c r="G108" t="inlineStr">
        <is>
          <t>VARBERG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46286</v>
      </c>
      <c r="F109" t="inlineStr">
        <is>
          <t>HALLANDS LÄN</t>
        </is>
      </c>
      <c r="G109" t="inlineStr">
        <is>
          <t>VARBERG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46286</v>
      </c>
      <c r="F110" t="inlineStr">
        <is>
          <t>HALLANDS LÄN</t>
        </is>
      </c>
      <c r="G110" t="inlineStr">
        <is>
          <t>VARBERG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46286</v>
      </c>
      <c r="F111" t="inlineStr">
        <is>
          <t>HALLANDS LÄN</t>
        </is>
      </c>
      <c r="G111" t="inlineStr">
        <is>
          <t>VARBERG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45323</v>
      </c>
      <c r="E112" s="1" t="n">
        <v>46286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46286</v>
      </c>
      <c r="F113" t="inlineStr">
        <is>
          <t>HALLANDS LÄN</t>
        </is>
      </c>
      <c r="G113" t="inlineStr">
        <is>
          <t>VARBERG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46286</v>
      </c>
      <c r="F114" t="inlineStr">
        <is>
          <t>HALLANDS LÄN</t>
        </is>
      </c>
      <c r="G114" t="inlineStr">
        <is>
          <t>VARBERG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71841-2021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46286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46286</v>
      </c>
      <c r="F116" t="inlineStr">
        <is>
          <t>HALLANDS LÄN</t>
        </is>
      </c>
      <c r="G116" t="inlineStr">
        <is>
          <t>VARBERG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46286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46286</v>
      </c>
      <c r="F118" t="inlineStr">
        <is>
          <t>HALLANDS LÄN</t>
        </is>
      </c>
      <c r="G118" t="inlineStr">
        <is>
          <t>VARBERG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46286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44974</v>
      </c>
      <c r="E120" s="1" t="n">
        <v>46286</v>
      </c>
      <c r="F120" t="inlineStr">
        <is>
          <t>HALLANDS LÄN</t>
        </is>
      </c>
      <c r="G120" t="inlineStr">
        <is>
          <t>VARBERG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45058</v>
      </c>
      <c r="E121" s="1" t="n">
        <v>46286</v>
      </c>
      <c r="F121" t="inlineStr">
        <is>
          <t>HALLANDS LÄN</t>
        </is>
      </c>
      <c r="G121" t="inlineStr">
        <is>
          <t>VARBERG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45736</v>
      </c>
      <c r="E122" s="1" t="n">
        <v>46286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46286</v>
      </c>
      <c r="F123" t="inlineStr">
        <is>
          <t>HALLANDS LÄN</t>
        </is>
      </c>
      <c r="G123" t="inlineStr">
        <is>
          <t>VARBERG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44980</v>
      </c>
      <c r="E124" s="1" t="n">
        <v>46286</v>
      </c>
      <c r="F124" t="inlineStr">
        <is>
          <t>HALLANDS LÄN</t>
        </is>
      </c>
      <c r="G124" t="inlineStr">
        <is>
          <t>VARBERG</t>
        </is>
      </c>
      <c r="H124" t="inlineStr">
        <is>
          <t>Övriga statliga verk och myndigheter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46286</v>
      </c>
      <c r="F125" t="inlineStr">
        <is>
          <t>HALLANDS LÄN</t>
        </is>
      </c>
      <c r="G125" t="inlineStr">
        <is>
          <t>VARBERG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44886</v>
      </c>
      <c r="E126" s="1" t="n">
        <v>46286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45665</v>
      </c>
      <c r="E127" s="1" t="n">
        <v>46286</v>
      </c>
      <c r="F127" t="inlineStr">
        <is>
          <t>HALLANDS LÄN</t>
        </is>
      </c>
      <c r="G127" t="inlineStr">
        <is>
          <t>VARBERG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46286</v>
      </c>
      <c r="F128" t="inlineStr">
        <is>
          <t>HALLANDS LÄN</t>
        </is>
      </c>
      <c r="G128" t="inlineStr">
        <is>
          <t>VARBERG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46286</v>
      </c>
      <c r="F129" t="inlineStr">
        <is>
          <t>HALLANDS LÄN</t>
        </is>
      </c>
      <c r="G129" t="inlineStr">
        <is>
          <t>VARBERG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46286</v>
      </c>
      <c r="F130" t="inlineStr">
        <is>
          <t>HALLANDS LÄN</t>
        </is>
      </c>
      <c r="G130" t="inlineStr">
        <is>
          <t>VARBERG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46286</v>
      </c>
      <c r="F131" t="inlineStr">
        <is>
          <t>HALLANDS LÄN</t>
        </is>
      </c>
      <c r="G131" t="inlineStr">
        <is>
          <t>VARBERG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46286</v>
      </c>
      <c r="F132" t="inlineStr">
        <is>
          <t>HALLANDS LÄN</t>
        </is>
      </c>
      <c r="G132" t="inlineStr">
        <is>
          <t>VARBERG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46286</v>
      </c>
      <c r="F133" t="inlineStr">
        <is>
          <t>HALLANDS LÄN</t>
        </is>
      </c>
      <c r="G133" t="inlineStr">
        <is>
          <t>VARBERG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46286</v>
      </c>
      <c r="F134" t="inlineStr">
        <is>
          <t>HALLANDS LÄN</t>
        </is>
      </c>
      <c r="G134" t="inlineStr">
        <is>
          <t>VARBERG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46286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46286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46286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46286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46286</v>
      </c>
      <c r="F139" t="inlineStr">
        <is>
          <t>HALLANDS LÄN</t>
        </is>
      </c>
      <c r="G139" t="inlineStr">
        <is>
          <t>VARBERG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46286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46286</v>
      </c>
      <c r="F141" t="inlineStr">
        <is>
          <t>HALLANDS LÄN</t>
        </is>
      </c>
      <c r="G141" t="inlineStr">
        <is>
          <t>VARBERG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46286</v>
      </c>
      <c r="F142" t="inlineStr">
        <is>
          <t>HALLANDS LÄN</t>
        </is>
      </c>
      <c r="G142" t="inlineStr">
        <is>
          <t>VARBERG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45085</v>
      </c>
      <c r="E143" s="1" t="n">
        <v>46286</v>
      </c>
      <c r="F143" t="inlineStr">
        <is>
          <t>HALLANDS LÄN</t>
        </is>
      </c>
      <c r="G143" t="inlineStr">
        <is>
          <t>VARBERG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45580</v>
      </c>
      <c r="E144" s="1" t="n">
        <v>46286</v>
      </c>
      <c r="F144" t="inlineStr">
        <is>
          <t>HALLANDS LÄN</t>
        </is>
      </c>
      <c r="G144" t="inlineStr">
        <is>
          <t>VARBERG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46286</v>
      </c>
      <c r="F145" t="inlineStr">
        <is>
          <t>HALLANDS LÄN</t>
        </is>
      </c>
      <c r="G145" t="inlineStr">
        <is>
          <t>VARBERG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46286</v>
      </c>
      <c r="F146" t="inlineStr">
        <is>
          <t>HALLANDS LÄN</t>
        </is>
      </c>
      <c r="G146" t="inlineStr">
        <is>
          <t>VARBERG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46286</v>
      </c>
      <c r="F147" t="inlineStr">
        <is>
          <t>HALLANDS LÄN</t>
        </is>
      </c>
      <c r="G147" t="inlineStr">
        <is>
          <t>VARBERG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46286</v>
      </c>
      <c r="F148" t="inlineStr">
        <is>
          <t>HALLANDS LÄN</t>
        </is>
      </c>
      <c r="G148" t="inlineStr">
        <is>
          <t>VARBERG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35018-2025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45851</v>
      </c>
      <c r="E149" s="1" t="n">
        <v>46286</v>
      </c>
      <c r="F149" t="inlineStr">
        <is>
          <t>HALLANDS LÄN</t>
        </is>
      </c>
      <c r="G149" t="inlineStr">
        <is>
          <t>VARBERG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46286</v>
      </c>
      <c r="F150" t="inlineStr">
        <is>
          <t>HALLANDS LÄN</t>
        </is>
      </c>
      <c r="G150" t="inlineStr">
        <is>
          <t>VARBERG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44622</v>
      </c>
      <c r="E151" s="1" t="n">
        <v>46286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46286</v>
      </c>
      <c r="F152" t="inlineStr">
        <is>
          <t>HALLANDS LÄN</t>
        </is>
      </c>
      <c r="G152" t="inlineStr">
        <is>
          <t>VARBERG</t>
        </is>
      </c>
      <c r="I152" t="n">
        <v>18.8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46286</v>
      </c>
      <c r="F153" t="inlineStr">
        <is>
          <t>HALLANDS LÄN</t>
        </is>
      </c>
      <c r="G153" t="inlineStr">
        <is>
          <t>VARBERG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46286</v>
      </c>
      <c r="F154" t="inlineStr">
        <is>
          <t>HALLANDS LÄN</t>
        </is>
      </c>
      <c r="G154" t="inlineStr">
        <is>
          <t>VARBERG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43273-2025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46286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46286</v>
      </c>
      <c r="F156" t="inlineStr">
        <is>
          <t>HALLANDS LÄN</t>
        </is>
      </c>
      <c r="G156" t="inlineStr">
        <is>
          <t>VARBERG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46286</v>
      </c>
      <c r="F157" t="inlineStr">
        <is>
          <t>HALLANDS LÄN</t>
        </is>
      </c>
      <c r="G157" t="inlineStr">
        <is>
          <t>VARBERG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46286</v>
      </c>
      <c r="F158" t="inlineStr">
        <is>
          <t>HALLANDS LÄN</t>
        </is>
      </c>
      <c r="G158" t="inlineStr">
        <is>
          <t>VARBERG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46286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46286</v>
      </c>
      <c r="F160" t="inlineStr">
        <is>
          <t>HALLANDS LÄN</t>
        </is>
      </c>
      <c r="G160" t="inlineStr">
        <is>
          <t>VARBERG</t>
        </is>
      </c>
      <c r="H160" t="inlineStr">
        <is>
          <t>Kyrkan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41629-2022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44827</v>
      </c>
      <c r="E161" s="1" t="n">
        <v>46286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46286</v>
      </c>
      <c r="F162" t="inlineStr">
        <is>
          <t>HALLANDS LÄN</t>
        </is>
      </c>
      <c r="G162" t="inlineStr">
        <is>
          <t>VARBERG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44837</v>
      </c>
      <c r="E163" s="1" t="n">
        <v>46286</v>
      </c>
      <c r="F163" t="inlineStr">
        <is>
          <t>HALLANDS LÄN</t>
        </is>
      </c>
      <c r="G163" t="inlineStr">
        <is>
          <t>VARBERG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46286</v>
      </c>
      <c r="F164" t="inlineStr">
        <is>
          <t>HALLANDS LÄN</t>
        </is>
      </c>
      <c r="G164" t="inlineStr">
        <is>
          <t>VARBERG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46286</v>
      </c>
      <c r="F165" t="inlineStr">
        <is>
          <t>HALLANDS LÄN</t>
        </is>
      </c>
      <c r="G165" t="inlineStr">
        <is>
          <t>VARBERG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46286</v>
      </c>
      <c r="F166" t="inlineStr">
        <is>
          <t>HALLANDS LÄN</t>
        </is>
      </c>
      <c r="G166" t="inlineStr">
        <is>
          <t>VARBERG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46286</v>
      </c>
      <c r="F167" t="inlineStr">
        <is>
          <t>HALLANDS LÄN</t>
        </is>
      </c>
      <c r="G167" t="inlineStr">
        <is>
          <t>VARBERG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46286</v>
      </c>
      <c r="F168" t="inlineStr">
        <is>
          <t>HALLANDS LÄN</t>
        </is>
      </c>
      <c r="G168" t="inlineStr">
        <is>
          <t>VARBERG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46286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46286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46286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46286</v>
      </c>
      <c r="F172" t="inlineStr">
        <is>
          <t>HALLANDS LÄN</t>
        </is>
      </c>
      <c r="G172" t="inlineStr">
        <is>
          <t>VARBERG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46286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46286</v>
      </c>
      <c r="F174" t="inlineStr">
        <is>
          <t>HALLANDS LÄN</t>
        </is>
      </c>
      <c r="G174" t="inlineStr">
        <is>
          <t>VARBERG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46286</v>
      </c>
      <c r="F175" t="inlineStr">
        <is>
          <t>HALLANDS LÄN</t>
        </is>
      </c>
      <c r="G175" t="inlineStr">
        <is>
          <t>VARBERG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45055</v>
      </c>
      <c r="E176" s="1" t="n">
        <v>46286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46286</v>
      </c>
      <c r="F177" t="inlineStr">
        <is>
          <t>HALLANDS LÄN</t>
        </is>
      </c>
      <c r="G177" t="inlineStr">
        <is>
          <t>VARBERG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45932</v>
      </c>
      <c r="E178" s="1" t="n">
        <v>46286</v>
      </c>
      <c r="F178" t="inlineStr">
        <is>
          <t>HALLANDS LÄN</t>
        </is>
      </c>
      <c r="G178" t="inlineStr">
        <is>
          <t>VARBERG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46286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46286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46286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45328</v>
      </c>
      <c r="E182" s="1" t="n">
        <v>46286</v>
      </c>
      <c r="F182" t="inlineStr">
        <is>
          <t>HALLANDS LÄN</t>
        </is>
      </c>
      <c r="G182" t="inlineStr">
        <is>
          <t>VARBERG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46286</v>
      </c>
      <c r="F183" t="inlineStr">
        <is>
          <t>HALLANDS LÄN</t>
        </is>
      </c>
      <c r="G183" t="inlineStr">
        <is>
          <t>VARBERG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46286</v>
      </c>
      <c r="F184" t="inlineStr">
        <is>
          <t>HALLANDS LÄN</t>
        </is>
      </c>
      <c r="G184" t="inlineStr">
        <is>
          <t>VARBERG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46286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46286</v>
      </c>
      <c r="F186" t="inlineStr">
        <is>
          <t>HALLANDS LÄN</t>
        </is>
      </c>
      <c r="G186" t="inlineStr">
        <is>
          <t>VARBERG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46286</v>
      </c>
      <c r="F187" t="inlineStr">
        <is>
          <t>HALLANDS LÄN</t>
        </is>
      </c>
      <c r="G187" t="inlineStr">
        <is>
          <t>VARBERG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46286</v>
      </c>
      <c r="F188" t="inlineStr">
        <is>
          <t>HALLANDS LÄN</t>
        </is>
      </c>
      <c r="G188" t="inlineStr">
        <is>
          <t>VARBERG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46286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46286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46286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46286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64488-2021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46286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45401</v>
      </c>
      <c r="E194" s="1" t="n">
        <v>46286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46286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45952</v>
      </c>
      <c r="E196" s="1" t="n">
        <v>46286</v>
      </c>
      <c r="F196" t="inlineStr">
        <is>
          <t>HALLANDS LÄN</t>
        </is>
      </c>
      <c r="G196" t="inlineStr">
        <is>
          <t>VARBERG</t>
        </is>
      </c>
      <c r="H196" t="inlineStr">
        <is>
          <t>Kyrkan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46286</v>
      </c>
      <c r="F197" t="inlineStr">
        <is>
          <t>HALLANDS LÄN</t>
        </is>
      </c>
      <c r="G197" t="inlineStr">
        <is>
          <t>VARBERG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46286</v>
      </c>
      <c r="F198" t="inlineStr">
        <is>
          <t>HALLANDS LÄN</t>
        </is>
      </c>
      <c r="G198" t="inlineStr">
        <is>
          <t>VARBERG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46286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45513</v>
      </c>
      <c r="E200" s="1" t="n">
        <v>46286</v>
      </c>
      <c r="F200" t="inlineStr">
        <is>
          <t>HALLANDS LÄN</t>
        </is>
      </c>
      <c r="G200" t="inlineStr">
        <is>
          <t>VARBERG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46286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44659</v>
      </c>
      <c r="E202" s="1" t="n">
        <v>46286</v>
      </c>
      <c r="F202" t="inlineStr">
        <is>
          <t>HALLANDS LÄN</t>
        </is>
      </c>
      <c r="G202" t="inlineStr">
        <is>
          <t>VARBERG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46286</v>
      </c>
      <c r="F203" t="inlineStr">
        <is>
          <t>HALLANDS LÄN</t>
        </is>
      </c>
      <c r="G203" t="inlineStr">
        <is>
          <t>VARBERG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45261</v>
      </c>
      <c r="E204" s="1" t="n">
        <v>46286</v>
      </c>
      <c r="F204" t="inlineStr">
        <is>
          <t>HALLANDS LÄN</t>
        </is>
      </c>
      <c r="G204" t="inlineStr">
        <is>
          <t>VARBERG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9819-2022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44620</v>
      </c>
      <c r="E205" s="1" t="n">
        <v>46286</v>
      </c>
      <c r="F205" t="inlineStr">
        <is>
          <t>HALLANDS LÄN</t>
        </is>
      </c>
      <c r="G205" t="inlineStr">
        <is>
          <t>VARBERG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46286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46286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46286</v>
      </c>
      <c r="F208" t="inlineStr">
        <is>
          <t>HALLANDS LÄN</t>
        </is>
      </c>
      <c r="G208" t="inlineStr">
        <is>
          <t>VARBERG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46286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46286</v>
      </c>
      <c r="F210" t="inlineStr">
        <is>
          <t>HALLANDS LÄN</t>
        </is>
      </c>
      <c r="G210" t="inlineStr">
        <is>
          <t>VARBERG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46286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44641</v>
      </c>
      <c r="E212" s="1" t="n">
        <v>46286</v>
      </c>
      <c r="F212" t="inlineStr">
        <is>
          <t>HALLANDS LÄN</t>
        </is>
      </c>
      <c r="G212" t="inlineStr">
        <is>
          <t>VARBERG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46286</v>
      </c>
      <c r="F213" t="inlineStr">
        <is>
          <t>HALLANDS LÄN</t>
        </is>
      </c>
      <c r="G213" t="inlineStr">
        <is>
          <t>VARBERG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46286</v>
      </c>
      <c r="F214" t="inlineStr">
        <is>
          <t>HALLANDS LÄN</t>
        </is>
      </c>
      <c r="G214" t="inlineStr">
        <is>
          <t>VARBERG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46286</v>
      </c>
      <c r="F215" t="inlineStr">
        <is>
          <t>HALLANDS LÄN</t>
        </is>
      </c>
      <c r="G215" t="inlineStr">
        <is>
          <t>VARBERG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46286</v>
      </c>
      <c r="F216" t="inlineStr">
        <is>
          <t>HALLANDS LÄN</t>
        </is>
      </c>
      <c r="G216" t="inlineStr">
        <is>
          <t>VARBERG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46286</v>
      </c>
      <c r="F217" t="inlineStr">
        <is>
          <t>HALLANDS LÄN</t>
        </is>
      </c>
      <c r="G217" t="inlineStr">
        <is>
          <t>VARBERG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46286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46286</v>
      </c>
      <c r="F219" t="inlineStr">
        <is>
          <t>HALLANDS LÄN</t>
        </is>
      </c>
      <c r="G219" t="inlineStr">
        <is>
          <t>VARBERG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45593</v>
      </c>
      <c r="E220" s="1" t="n">
        <v>46286</v>
      </c>
      <c r="F220" t="inlineStr">
        <is>
          <t>HALLANDS LÄN</t>
        </is>
      </c>
      <c r="G220" t="inlineStr">
        <is>
          <t>VARBERG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46286</v>
      </c>
      <c r="F221" t="inlineStr">
        <is>
          <t>HALLANDS LÄN</t>
        </is>
      </c>
      <c r="G221" t="inlineStr">
        <is>
          <t>VARBERG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46286</v>
      </c>
      <c r="F222" t="inlineStr">
        <is>
          <t>HALLANDS LÄN</t>
        </is>
      </c>
      <c r="G222" t="inlineStr">
        <is>
          <t>VARBERG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45717</v>
      </c>
      <c r="E223" s="1" t="n">
        <v>46286</v>
      </c>
      <c r="F223" t="inlineStr">
        <is>
          <t>HALLANDS LÄN</t>
        </is>
      </c>
      <c r="G223" t="inlineStr">
        <is>
          <t>VARBERG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46286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45881</v>
      </c>
      <c r="E225" s="1" t="n">
        <v>46286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46286</v>
      </c>
      <c r="F226" t="inlineStr">
        <is>
          <t>HALLANDS LÄN</t>
        </is>
      </c>
      <c r="G226" t="inlineStr">
        <is>
          <t>VARBERG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46286</v>
      </c>
      <c r="F227" t="inlineStr">
        <is>
          <t>HALLANDS LÄN</t>
        </is>
      </c>
      <c r="G227" t="inlineStr">
        <is>
          <t>VARBERG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45302</v>
      </c>
      <c r="E228" s="1" t="n">
        <v>46286</v>
      </c>
      <c r="F228" t="inlineStr">
        <is>
          <t>HALLANDS LÄN</t>
        </is>
      </c>
      <c r="G228" t="inlineStr">
        <is>
          <t>VARBERG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46286</v>
      </c>
      <c r="F229" t="inlineStr">
        <is>
          <t>HALLANDS LÄN</t>
        </is>
      </c>
      <c r="G229" t="inlineStr">
        <is>
          <t>VARBERG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46286</v>
      </c>
      <c r="F230" t="inlineStr">
        <is>
          <t>HALLANDS LÄN</t>
        </is>
      </c>
      <c r="G230" t="inlineStr">
        <is>
          <t>VARBERG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46286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46286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46286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46286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46286</v>
      </c>
      <c r="F235" t="inlineStr">
        <is>
          <t>HALLANDS LÄN</t>
        </is>
      </c>
      <c r="G235" t="inlineStr">
        <is>
          <t>VARBERG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46286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46286</v>
      </c>
      <c r="F237" t="inlineStr">
        <is>
          <t>HALLANDS LÄN</t>
        </is>
      </c>
      <c r="G237" t="inlineStr">
        <is>
          <t>VARBERG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46161</v>
      </c>
      <c r="E238" s="1" t="n">
        <v>46286</v>
      </c>
      <c r="F238" t="inlineStr">
        <is>
          <t>HALLANDS LÄN</t>
        </is>
      </c>
      <c r="G238" t="inlineStr">
        <is>
          <t>VARBERG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46286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44644</v>
      </c>
      <c r="E240" s="1" t="n">
        <v>46286</v>
      </c>
      <c r="F240" t="inlineStr">
        <is>
          <t>HALLANDS LÄN</t>
        </is>
      </c>
      <c r="G240" t="inlineStr">
        <is>
          <t>VARBERG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13799-2022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44649</v>
      </c>
      <c r="E241" s="1" t="n">
        <v>46286</v>
      </c>
      <c r="F241" t="inlineStr">
        <is>
          <t>HALLANDS LÄN</t>
        </is>
      </c>
      <c r="G241" t="inlineStr">
        <is>
          <t>VARBERG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46286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46161</v>
      </c>
      <c r="E243" s="1" t="n">
        <v>46286</v>
      </c>
      <c r="F243" t="inlineStr">
        <is>
          <t>HALLANDS LÄN</t>
        </is>
      </c>
      <c r="G243" t="inlineStr">
        <is>
          <t>VARBERG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46286</v>
      </c>
      <c r="F244" t="inlineStr">
        <is>
          <t>HALLANDS LÄN</t>
        </is>
      </c>
      <c r="G244" t="inlineStr">
        <is>
          <t>VARBERG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45740</v>
      </c>
      <c r="E245" s="1" t="n">
        <v>46286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46286</v>
      </c>
      <c r="F246" t="inlineStr">
        <is>
          <t>HALLANDS LÄN</t>
        </is>
      </c>
      <c r="G246" t="inlineStr">
        <is>
          <t>VARBERG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46286</v>
      </c>
      <c r="F247" t="inlineStr">
        <is>
          <t>HALLANDS LÄN</t>
        </is>
      </c>
      <c r="G247" t="inlineStr">
        <is>
          <t>VARBERG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46286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46286</v>
      </c>
      <c r="F249" t="inlineStr">
        <is>
          <t>HALLANDS LÄN</t>
        </is>
      </c>
      <c r="G249" t="inlineStr">
        <is>
          <t>VARBERG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44628</v>
      </c>
      <c r="E250" s="1" t="n">
        <v>46286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46286</v>
      </c>
      <c r="F251" t="inlineStr">
        <is>
          <t>HALLANDS LÄN</t>
        </is>
      </c>
      <c r="G251" t="inlineStr">
        <is>
          <t>VARBERG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46286</v>
      </c>
      <c r="F252" t="inlineStr">
        <is>
          <t>HALLANDS LÄN</t>
        </is>
      </c>
      <c r="G252" t="inlineStr">
        <is>
          <t>VARBERG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46286</v>
      </c>
      <c r="F253" t="inlineStr">
        <is>
          <t>HALLANDS LÄN</t>
        </is>
      </c>
      <c r="G253" t="inlineStr">
        <is>
          <t>VARBERG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44981</v>
      </c>
      <c r="E254" s="1" t="n">
        <v>46286</v>
      </c>
      <c r="F254" t="inlineStr">
        <is>
          <t>HALLANDS LÄN</t>
        </is>
      </c>
      <c r="G254" t="inlineStr">
        <is>
          <t>VARBERG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45366</v>
      </c>
      <c r="E255" s="1" t="n">
        <v>46286</v>
      </c>
      <c r="F255" t="inlineStr">
        <is>
          <t>HALLANDS LÄN</t>
        </is>
      </c>
      <c r="G255" t="inlineStr">
        <is>
          <t>VARBERG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46286</v>
      </c>
      <c r="F256" t="inlineStr">
        <is>
          <t>HALLANDS LÄN</t>
        </is>
      </c>
      <c r="G256" t="inlineStr">
        <is>
          <t>VARBERG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44652</v>
      </c>
      <c r="E257" s="1" t="n">
        <v>46286</v>
      </c>
      <c r="F257" t="inlineStr">
        <is>
          <t>HALLANDS LÄN</t>
        </is>
      </c>
      <c r="G257" t="inlineStr">
        <is>
          <t>VARBERG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46286</v>
      </c>
      <c r="F258" t="inlineStr">
        <is>
          <t>HALLANDS LÄN</t>
        </is>
      </c>
      <c r="G258" t="inlineStr">
        <is>
          <t>VARBERG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15067-2022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44657</v>
      </c>
      <c r="E259" s="1" t="n">
        <v>46286</v>
      </c>
      <c r="F259" t="inlineStr">
        <is>
          <t>HALLANDS LÄN</t>
        </is>
      </c>
      <c r="G259" t="inlineStr">
        <is>
          <t>VARBERG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46286</v>
      </c>
      <c r="F260" t="inlineStr">
        <is>
          <t>HALLANDS LÄN</t>
        </is>
      </c>
      <c r="G260" t="inlineStr">
        <is>
          <t>VARBERG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46286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46286</v>
      </c>
      <c r="F262" t="inlineStr">
        <is>
          <t>HALLANDS LÄN</t>
        </is>
      </c>
      <c r="G262" t="inlineStr">
        <is>
          <t>VARBERG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46286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46007</v>
      </c>
      <c r="E264" s="1" t="n">
        <v>46286</v>
      </c>
      <c r="F264" t="inlineStr">
        <is>
          <t>HALLANDS LÄN</t>
        </is>
      </c>
      <c r="G264" t="inlineStr">
        <is>
          <t>VARBERG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46286</v>
      </c>
      <c r="F265" t="inlineStr">
        <is>
          <t>HALLANDS LÄN</t>
        </is>
      </c>
      <c r="G265" t="inlineStr">
        <is>
          <t>VARBERG</t>
        </is>
      </c>
      <c r="H265" t="inlineStr">
        <is>
          <t>Kyrkan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46286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45359</v>
      </c>
      <c r="E267" s="1" t="n">
        <v>46286</v>
      </c>
      <c r="F267" t="inlineStr">
        <is>
          <t>HALLANDS LÄN</t>
        </is>
      </c>
      <c r="G267" t="inlineStr">
        <is>
          <t>VARBERG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44470</v>
      </c>
      <c r="E268" s="1" t="n">
        <v>46286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46286</v>
      </c>
      <c r="F269" t="inlineStr">
        <is>
          <t>HALLANDS LÄN</t>
        </is>
      </c>
      <c r="G269" t="inlineStr">
        <is>
          <t>VARBERG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46286</v>
      </c>
      <c r="F270" t="inlineStr">
        <is>
          <t>HALLANDS LÄN</t>
        </is>
      </c>
      <c r="G270" t="inlineStr">
        <is>
          <t>VARBERG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46286</v>
      </c>
      <c r="F271" t="inlineStr">
        <is>
          <t>HALLANDS LÄN</t>
        </is>
      </c>
      <c r="G271" t="inlineStr">
        <is>
          <t>VARBERG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46286</v>
      </c>
      <c r="F272" t="inlineStr">
        <is>
          <t>HALLANDS LÄN</t>
        </is>
      </c>
      <c r="G272" t="inlineStr">
        <is>
          <t>VARBERG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46286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46286</v>
      </c>
      <c r="F274" t="inlineStr">
        <is>
          <t>HALLANDS LÄN</t>
        </is>
      </c>
      <c r="G274" t="inlineStr">
        <is>
          <t>VARBERG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46286</v>
      </c>
      <c r="F275" t="inlineStr">
        <is>
          <t>HALLANDS LÄN</t>
        </is>
      </c>
      <c r="G275" t="inlineStr">
        <is>
          <t>VARBERG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46286</v>
      </c>
      <c r="F276" t="inlineStr">
        <is>
          <t>HALLANDS LÄN</t>
        </is>
      </c>
      <c r="G276" t="inlineStr">
        <is>
          <t>VARBERG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46286</v>
      </c>
      <c r="F277" t="inlineStr">
        <is>
          <t>HALLANDS LÄN</t>
        </is>
      </c>
      <c r="G277" t="inlineStr">
        <is>
          <t>VARBERG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46286</v>
      </c>
      <c r="F278" t="inlineStr">
        <is>
          <t>HALLANDS LÄN</t>
        </is>
      </c>
      <c r="G278" t="inlineStr">
        <is>
          <t>VARBERG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46286</v>
      </c>
      <c r="F279" t="inlineStr">
        <is>
          <t>HALLANDS LÄN</t>
        </is>
      </c>
      <c r="G279" t="inlineStr">
        <is>
          <t>VARBERG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45580</v>
      </c>
      <c r="E280" s="1" t="n">
        <v>46286</v>
      </c>
      <c r="F280" t="inlineStr">
        <is>
          <t>HALLANDS LÄN</t>
        </is>
      </c>
      <c r="G280" t="inlineStr">
        <is>
          <t>VARBERG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45701</v>
      </c>
      <c r="E281" s="1" t="n">
        <v>46286</v>
      </c>
      <c r="F281" t="inlineStr">
        <is>
          <t>HALLANDS LÄN</t>
        </is>
      </c>
      <c r="G281" t="inlineStr">
        <is>
          <t>VARBERG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70040-2021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44533</v>
      </c>
      <c r="E282" s="1" t="n">
        <v>46286</v>
      </c>
      <c r="F282" t="inlineStr">
        <is>
          <t>HALLANDS LÄN</t>
        </is>
      </c>
      <c r="G282" t="inlineStr">
        <is>
          <t>VARBERG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15426-2022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44659</v>
      </c>
      <c r="E283" s="1" t="n">
        <v>46286</v>
      </c>
      <c r="F283" t="inlineStr">
        <is>
          <t>HALLANDS LÄN</t>
        </is>
      </c>
      <c r="G283" t="inlineStr">
        <is>
          <t>VARBERG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46286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64767-2023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45281</v>
      </c>
      <c r="E285" s="1" t="n">
        <v>46286</v>
      </c>
      <c r="F285" t="inlineStr">
        <is>
          <t>HALLANDS LÄN</t>
        </is>
      </c>
      <c r="G285" t="inlineStr">
        <is>
          <t>VARBERG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46286</v>
      </c>
      <c r="F286" t="inlineStr">
        <is>
          <t>HALLANDS LÄN</t>
        </is>
      </c>
      <c r="G286" t="inlineStr">
        <is>
          <t>VARBERG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46771-2022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44851</v>
      </c>
      <c r="E287" s="1" t="n">
        <v>46286</v>
      </c>
      <c r="F287" t="inlineStr">
        <is>
          <t>HALLANDS LÄN</t>
        </is>
      </c>
      <c r="G287" t="inlineStr">
        <is>
          <t>VARBERG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24996-2026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46286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46286</v>
      </c>
      <c r="F289" t="inlineStr">
        <is>
          <t>HALLANDS LÄN</t>
        </is>
      </c>
      <c r="G289" t="inlineStr">
        <is>
          <t>VARBERG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46286</v>
      </c>
      <c r="F290" t="inlineStr">
        <is>
          <t>HALLANDS LÄN</t>
        </is>
      </c>
      <c r="G290" t="inlineStr">
        <is>
          <t>VARBERG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45582</v>
      </c>
      <c r="E291" s="1" t="n">
        <v>46286</v>
      </c>
      <c r="F291" t="inlineStr">
        <is>
          <t>HALLANDS LÄN</t>
        </is>
      </c>
      <c r="G291" t="inlineStr">
        <is>
          <t>VARBERG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45411</v>
      </c>
      <c r="E292" s="1" t="n">
        <v>46286</v>
      </c>
      <c r="F292" t="inlineStr">
        <is>
          <t>HALLANDS LÄN</t>
        </is>
      </c>
      <c r="G292" t="inlineStr">
        <is>
          <t>VARBERG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46286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46286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46047</v>
      </c>
      <c r="E295" s="1" t="n">
        <v>46286</v>
      </c>
      <c r="F295" t="inlineStr">
        <is>
          <t>HALLANDS LÄN</t>
        </is>
      </c>
      <c r="G295" t="inlineStr">
        <is>
          <t>VARBERG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46047</v>
      </c>
      <c r="E296" s="1" t="n">
        <v>46286</v>
      </c>
      <c r="F296" t="inlineStr">
        <is>
          <t>HALLANDS LÄN</t>
        </is>
      </c>
      <c r="G296" t="inlineStr">
        <is>
          <t>VARBERG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46286</v>
      </c>
      <c r="F297" t="inlineStr">
        <is>
          <t>HALLANDS LÄN</t>
        </is>
      </c>
      <c r="G297" t="inlineStr">
        <is>
          <t>VARBERG</t>
        </is>
      </c>
      <c r="H297" t="inlineStr">
        <is>
          <t>Kyrkan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46286</v>
      </c>
      <c r="F298" t="inlineStr">
        <is>
          <t>HALLANDS LÄN</t>
        </is>
      </c>
      <c r="G298" t="inlineStr">
        <is>
          <t>VARBERG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46286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46286</v>
      </c>
      <c r="F300" t="inlineStr">
        <is>
          <t>HALLANDS LÄN</t>
        </is>
      </c>
      <c r="G300" t="inlineStr">
        <is>
          <t>VARBERG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46286</v>
      </c>
      <c r="F301" t="inlineStr">
        <is>
          <t>HALLANDS LÄN</t>
        </is>
      </c>
      <c r="G301" t="inlineStr">
        <is>
          <t>VARBERG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46286</v>
      </c>
      <c r="F302" t="inlineStr">
        <is>
          <t>HALLANDS LÄN</t>
        </is>
      </c>
      <c r="G302" t="inlineStr">
        <is>
          <t>VARBERG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25989-2022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44734</v>
      </c>
      <c r="E303" s="1" t="n">
        <v>46286</v>
      </c>
      <c r="F303" t="inlineStr">
        <is>
          <t>HALLANDS LÄN</t>
        </is>
      </c>
      <c r="G303" t="inlineStr">
        <is>
          <t>VARBERG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46286</v>
      </c>
      <c r="F304" t="inlineStr">
        <is>
          <t>HALLANDS LÄN</t>
        </is>
      </c>
      <c r="G304" t="inlineStr">
        <is>
          <t>VARBERG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46286</v>
      </c>
      <c r="F305" t="inlineStr">
        <is>
          <t>HALLANDS LÄN</t>
        </is>
      </c>
      <c r="G305" t="inlineStr">
        <is>
          <t>VARBERG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46286</v>
      </c>
      <c r="F306" t="inlineStr">
        <is>
          <t>HALLANDS LÄN</t>
        </is>
      </c>
      <c r="G306" t="inlineStr">
        <is>
          <t>VARBERG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46286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46286</v>
      </c>
      <c r="F308" t="inlineStr">
        <is>
          <t>HALLANDS LÄN</t>
        </is>
      </c>
      <c r="G308" t="inlineStr">
        <is>
          <t>VARBERG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46286</v>
      </c>
      <c r="F309" t="inlineStr">
        <is>
          <t>HALLANDS LÄN</t>
        </is>
      </c>
      <c r="G309" t="inlineStr">
        <is>
          <t>VARBERG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46286</v>
      </c>
      <c r="F310" t="inlineStr">
        <is>
          <t>HALLANDS LÄN</t>
        </is>
      </c>
      <c r="G310" t="inlineStr">
        <is>
          <t>VARBERG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45140</v>
      </c>
      <c r="E311" s="1" t="n">
        <v>46286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46286</v>
      </c>
      <c r="F312" t="inlineStr">
        <is>
          <t>HALLANDS LÄN</t>
        </is>
      </c>
      <c r="G312" t="inlineStr">
        <is>
          <t>VARBERG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45434</v>
      </c>
      <c r="E313" s="1" t="n">
        <v>46286</v>
      </c>
      <c r="F313" t="inlineStr">
        <is>
          <t>HALLANDS LÄN</t>
        </is>
      </c>
      <c r="G313" t="inlineStr">
        <is>
          <t>VARBERG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46286</v>
      </c>
      <c r="F314" t="inlineStr">
        <is>
          <t>HALLANDS LÄN</t>
        </is>
      </c>
      <c r="G314" t="inlineStr">
        <is>
          <t>VARBERG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45196</v>
      </c>
      <c r="E315" s="1" t="n">
        <v>46286</v>
      </c>
      <c r="F315" t="inlineStr">
        <is>
          <t>HALLANDS LÄN</t>
        </is>
      </c>
      <c r="G315" t="inlineStr">
        <is>
          <t>VARBERG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46286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46286</v>
      </c>
      <c r="F317" t="inlineStr">
        <is>
          <t>HALLANDS LÄN</t>
        </is>
      </c>
      <c r="G317" t="inlineStr">
        <is>
          <t>VARBERG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46286</v>
      </c>
      <c r="F318" t="inlineStr">
        <is>
          <t>HALLANDS LÄN</t>
        </is>
      </c>
      <c r="G318" t="inlineStr">
        <is>
          <t>VARBERG</t>
        </is>
      </c>
      <c r="H318" t="inlineStr">
        <is>
          <t>Övriga statliga verk och myndigheter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46286</v>
      </c>
      <c r="F319" t="inlineStr">
        <is>
          <t>HALLANDS LÄN</t>
        </is>
      </c>
      <c r="G319" t="inlineStr">
        <is>
          <t>VARBERG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46286</v>
      </c>
      <c r="F320" t="inlineStr">
        <is>
          <t>HALLANDS LÄN</t>
        </is>
      </c>
      <c r="G320" t="inlineStr">
        <is>
          <t>VARBERG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46286</v>
      </c>
      <c r="F321" t="inlineStr">
        <is>
          <t>HALLANDS LÄN</t>
        </is>
      </c>
      <c r="G321" t="inlineStr">
        <is>
          <t>VARBERG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46286</v>
      </c>
      <c r="F322" t="inlineStr">
        <is>
          <t>HALLANDS LÄN</t>
        </is>
      </c>
      <c r="G322" t="inlineStr">
        <is>
          <t>VARBERG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45772</v>
      </c>
      <c r="E323" s="1" t="n">
        <v>46286</v>
      </c>
      <c r="F323" t="inlineStr">
        <is>
          <t>HALLANDS LÄN</t>
        </is>
      </c>
      <c r="G323" t="inlineStr">
        <is>
          <t>VARBERG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46286</v>
      </c>
      <c r="F324" t="inlineStr">
        <is>
          <t>HALLANDS LÄN</t>
        </is>
      </c>
      <c r="G324" t="inlineStr">
        <is>
          <t>VARBERG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46286</v>
      </c>
      <c r="F325" t="inlineStr">
        <is>
          <t>HALLANDS LÄN</t>
        </is>
      </c>
      <c r="G325" t="inlineStr">
        <is>
          <t>VARBERG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46286</v>
      </c>
      <c r="F326" t="inlineStr">
        <is>
          <t>HALLANDS LÄN</t>
        </is>
      </c>
      <c r="G326" t="inlineStr">
        <is>
          <t>VARBERG</t>
        </is>
      </c>
      <c r="I326" t="n">
        <v>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46286</v>
      </c>
      <c r="F327" t="inlineStr">
        <is>
          <t>HALLANDS LÄN</t>
        </is>
      </c>
      <c r="G327" t="inlineStr">
        <is>
          <t>VARBERG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46286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46286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44770</v>
      </c>
      <c r="E330" s="1" t="n">
        <v>46286</v>
      </c>
      <c r="F330" t="inlineStr">
        <is>
          <t>HALLANDS LÄN</t>
        </is>
      </c>
      <c r="G330" t="inlineStr">
        <is>
          <t>VARBERG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46286</v>
      </c>
      <c r="F331" t="inlineStr">
        <is>
          <t>HALLANDS LÄN</t>
        </is>
      </c>
      <c r="G331" t="inlineStr">
        <is>
          <t>VARBERG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46286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46286</v>
      </c>
      <c r="F333" t="inlineStr">
        <is>
          <t>HALLANDS LÄN</t>
        </is>
      </c>
      <c r="G333" t="inlineStr">
        <is>
          <t>VARBERG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46286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46286</v>
      </c>
      <c r="F335" t="inlineStr">
        <is>
          <t>HALLANDS LÄN</t>
        </is>
      </c>
      <c r="G335" t="inlineStr">
        <is>
          <t>VARBERG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46286</v>
      </c>
      <c r="F336" t="inlineStr">
        <is>
          <t>HALLANDS LÄN</t>
        </is>
      </c>
      <c r="G336" t="inlineStr">
        <is>
          <t>VARBERG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46286</v>
      </c>
      <c r="F337" t="inlineStr">
        <is>
          <t>HALLANDS LÄN</t>
        </is>
      </c>
      <c r="G337" t="inlineStr">
        <is>
          <t>VARBERG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46286</v>
      </c>
      <c r="F338" t="inlineStr">
        <is>
          <t>HALLANDS LÄN</t>
        </is>
      </c>
      <c r="G338" t="inlineStr">
        <is>
          <t>VARBERG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46286</v>
      </c>
      <c r="F339" t="inlineStr">
        <is>
          <t>HALLANDS LÄN</t>
        </is>
      </c>
      <c r="G339" t="inlineStr">
        <is>
          <t>VARBERG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46286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46286</v>
      </c>
      <c r="F341" t="inlineStr">
        <is>
          <t>HALLANDS LÄN</t>
        </is>
      </c>
      <c r="G341" t="inlineStr">
        <is>
          <t>VARBERG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46286</v>
      </c>
      <c r="F342" t="inlineStr">
        <is>
          <t>HALLANDS LÄN</t>
        </is>
      </c>
      <c r="G342" t="inlineStr">
        <is>
          <t>VARBERG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45014</v>
      </c>
      <c r="E343" s="1" t="n">
        <v>46286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46286</v>
      </c>
      <c r="F344" t="inlineStr">
        <is>
          <t>HALLANDS LÄN</t>
        </is>
      </c>
      <c r="G344" t="inlineStr">
        <is>
          <t>VARBERG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46286</v>
      </c>
      <c r="F345" t="inlineStr">
        <is>
          <t>HALLANDS LÄN</t>
        </is>
      </c>
      <c r="G345" t="inlineStr">
        <is>
          <t>VARBERG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46286</v>
      </c>
      <c r="F346" t="inlineStr">
        <is>
          <t>HALLANDS LÄN</t>
        </is>
      </c>
      <c r="G346" t="inlineStr">
        <is>
          <t>VARBERG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46286</v>
      </c>
      <c r="F347" t="inlineStr">
        <is>
          <t>HALLANDS LÄN</t>
        </is>
      </c>
      <c r="G347" t="inlineStr">
        <is>
          <t>VARBERG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45716</v>
      </c>
      <c r="E348" s="1" t="n">
        <v>46286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46286</v>
      </c>
      <c r="F349" t="inlineStr">
        <is>
          <t>HALLANDS LÄN</t>
        </is>
      </c>
      <c r="G349" t="inlineStr">
        <is>
          <t>VARBERG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46286</v>
      </c>
      <c r="F350" t="inlineStr">
        <is>
          <t>HALLANDS LÄN</t>
        </is>
      </c>
      <c r="G350" t="inlineStr">
        <is>
          <t>VARBERG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45708</v>
      </c>
      <c r="E351" s="1" t="n">
        <v>46286</v>
      </c>
      <c r="F351" t="inlineStr">
        <is>
          <t>HALLANDS LÄN</t>
        </is>
      </c>
      <c r="G351" t="inlineStr">
        <is>
          <t>VARBERG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45579</v>
      </c>
      <c r="E352" s="1" t="n">
        <v>46286</v>
      </c>
      <c r="F352" t="inlineStr">
        <is>
          <t>HALLANDS LÄN</t>
        </is>
      </c>
      <c r="G352" t="inlineStr">
        <is>
          <t>VARBERG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46286</v>
      </c>
      <c r="F353" t="inlineStr">
        <is>
          <t>HALLANDS LÄN</t>
        </is>
      </c>
      <c r="G353" t="inlineStr">
        <is>
          <t>VARBERG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46286</v>
      </c>
      <c r="F354" t="inlineStr">
        <is>
          <t>HALLANDS LÄN</t>
        </is>
      </c>
      <c r="G354" t="inlineStr">
        <is>
          <t>VARBERG</t>
        </is>
      </c>
      <c r="H354" t="inlineStr">
        <is>
          <t>Kyrkan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46286</v>
      </c>
      <c r="F355" t="inlineStr">
        <is>
          <t>HALLANDS LÄN</t>
        </is>
      </c>
      <c r="G355" t="inlineStr">
        <is>
          <t>VARBERG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45744</v>
      </c>
      <c r="E356" s="1" t="n">
        <v>46286</v>
      </c>
      <c r="F356" t="inlineStr">
        <is>
          <t>HALLANDS LÄN</t>
        </is>
      </c>
      <c r="G356" t="inlineStr">
        <is>
          <t>VARBERG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19130-2026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46132</v>
      </c>
      <c r="E357" s="1" t="n">
        <v>46286</v>
      </c>
      <c r="F357" t="inlineStr">
        <is>
          <t>HALLANDS LÄN</t>
        </is>
      </c>
      <c r="G357" t="inlineStr">
        <is>
          <t>VARBERG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45487</v>
      </c>
      <c r="E358" s="1" t="n">
        <v>46286</v>
      </c>
      <c r="F358" t="inlineStr">
        <is>
          <t>HALLANDS LÄN</t>
        </is>
      </c>
      <c r="G358" t="inlineStr">
        <is>
          <t>VARBERG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46286</v>
      </c>
      <c r="F359" t="inlineStr">
        <is>
          <t>HALLANDS LÄN</t>
        </is>
      </c>
      <c r="G359" t="inlineStr">
        <is>
          <t>VARBERG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46286</v>
      </c>
      <c r="F360" t="inlineStr">
        <is>
          <t>HALLANDS LÄN</t>
        </is>
      </c>
      <c r="G360" t="inlineStr">
        <is>
          <t>VARBERG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46286</v>
      </c>
      <c r="F361" t="inlineStr">
        <is>
          <t>HALLANDS LÄN</t>
        </is>
      </c>
      <c r="G361" t="inlineStr">
        <is>
          <t>VARBERG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46286</v>
      </c>
      <c r="F362" t="inlineStr">
        <is>
          <t>HALLANDS LÄN</t>
        </is>
      </c>
      <c r="G362" t="inlineStr">
        <is>
          <t>VARBERG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44722</v>
      </c>
      <c r="E363" s="1" t="n">
        <v>46286</v>
      </c>
      <c r="F363" t="inlineStr">
        <is>
          <t>HALLANDS LÄN</t>
        </is>
      </c>
      <c r="G363" t="inlineStr">
        <is>
          <t>VARBERG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46286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45272</v>
      </c>
      <c r="E365" s="1" t="n">
        <v>46286</v>
      </c>
      <c r="F365" t="inlineStr">
        <is>
          <t>HALLANDS LÄN</t>
        </is>
      </c>
      <c r="G365" t="inlineStr">
        <is>
          <t>VARBERG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45743</v>
      </c>
      <c r="E366" s="1" t="n">
        <v>46286</v>
      </c>
      <c r="F366" t="inlineStr">
        <is>
          <t>HALLANDS LÄN</t>
        </is>
      </c>
      <c r="G366" t="inlineStr">
        <is>
          <t>VARBERG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45743</v>
      </c>
      <c r="E367" s="1" t="n">
        <v>46286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46286</v>
      </c>
      <c r="F368" t="inlineStr">
        <is>
          <t>HALLANDS LÄN</t>
        </is>
      </c>
      <c r="G368" t="inlineStr">
        <is>
          <t>VARBERG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46286</v>
      </c>
      <c r="F369" t="inlineStr">
        <is>
          <t>HALLANDS LÄN</t>
        </is>
      </c>
      <c r="G369" t="inlineStr">
        <is>
          <t>VARBERG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46286</v>
      </c>
      <c r="F370" t="inlineStr">
        <is>
          <t>HALLANDS LÄN</t>
        </is>
      </c>
      <c r="G370" t="inlineStr">
        <is>
          <t>VARBERG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44740-2023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45184</v>
      </c>
      <c r="E371" s="1" t="n">
        <v>46286</v>
      </c>
      <c r="F371" t="inlineStr">
        <is>
          <t>HALLANDS LÄN</t>
        </is>
      </c>
      <c r="G371" t="inlineStr">
        <is>
          <t>VARBERG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46286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45013</v>
      </c>
      <c r="E373" s="1" t="n">
        <v>46286</v>
      </c>
      <c r="F373" t="inlineStr">
        <is>
          <t>HALLANDS LÄN</t>
        </is>
      </c>
      <c r="G373" t="inlineStr">
        <is>
          <t>VARBERG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46286</v>
      </c>
      <c r="F374" t="inlineStr">
        <is>
          <t>HALLANDS LÄN</t>
        </is>
      </c>
      <c r="G374" t="inlineStr">
        <is>
          <t>VARBERG</t>
        </is>
      </c>
      <c r="H374" t="inlineStr">
        <is>
          <t>Övriga statliga verk och myndigheter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46286</v>
      </c>
      <c r="F375" t="inlineStr">
        <is>
          <t>HALLANDS LÄN</t>
        </is>
      </c>
      <c r="G375" t="inlineStr">
        <is>
          <t>VARBERG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46286</v>
      </c>
      <c r="F376" t="inlineStr">
        <is>
          <t>HALLANDS LÄN</t>
        </is>
      </c>
      <c r="G376" t="inlineStr">
        <is>
          <t>VARBERG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46286</v>
      </c>
      <c r="F377" t="inlineStr">
        <is>
          <t>HALLANDS LÄN</t>
        </is>
      </c>
      <c r="G377" t="inlineStr">
        <is>
          <t>VARBERG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45177</v>
      </c>
      <c r="E378" s="1" t="n">
        <v>46286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7609-2022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46286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46255</v>
      </c>
      <c r="E380" s="1" t="n">
        <v>46286</v>
      </c>
      <c r="F380" t="inlineStr">
        <is>
          <t>HALLANDS LÄN</t>
        </is>
      </c>
      <c r="G380" t="inlineStr">
        <is>
          <t>VARBERG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46286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46286</v>
      </c>
      <c r="F382" t="inlineStr">
        <is>
          <t>HALLANDS LÄN</t>
        </is>
      </c>
      <c r="G382" t="inlineStr">
        <is>
          <t>VARBERG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46286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45722</v>
      </c>
      <c r="E384" s="1" t="n">
        <v>46286</v>
      </c>
      <c r="F384" t="inlineStr">
        <is>
          <t>HALLANDS LÄN</t>
        </is>
      </c>
      <c r="G384" t="inlineStr">
        <is>
          <t>VARBERG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46286</v>
      </c>
      <c r="F385" t="inlineStr">
        <is>
          <t>HALLANDS LÄN</t>
        </is>
      </c>
      <c r="G385" t="inlineStr">
        <is>
          <t>VARBERG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46286</v>
      </c>
      <c r="F386" t="inlineStr">
        <is>
          <t>HALLANDS LÄN</t>
        </is>
      </c>
      <c r="G386" t="inlineStr">
        <is>
          <t>VARBERG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46286</v>
      </c>
      <c r="F387" t="inlineStr">
        <is>
          <t>HALLANDS LÄN</t>
        </is>
      </c>
      <c r="G387" t="inlineStr">
        <is>
          <t>VARBERG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46286</v>
      </c>
      <c r="F388" t="inlineStr">
        <is>
          <t>HALLANDS LÄN</t>
        </is>
      </c>
      <c r="G388" t="inlineStr">
        <is>
          <t>VARBERG</t>
        </is>
      </c>
      <c r="H388" t="inlineStr">
        <is>
          <t>Övriga statliga verk och myndigheter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46286</v>
      </c>
      <c r="F389" t="inlineStr">
        <is>
          <t>HALLANDS LÄN</t>
        </is>
      </c>
      <c r="G389" t="inlineStr">
        <is>
          <t>VARBERG</t>
        </is>
      </c>
      <c r="H389" t="inlineStr">
        <is>
          <t>Övriga statliga verk och myndigheter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9614-2024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45361</v>
      </c>
      <c r="E390" s="1" t="n">
        <v>46286</v>
      </c>
      <c r="F390" t="inlineStr">
        <is>
          <t>HALLANDS LÄN</t>
        </is>
      </c>
      <c r="G390" t="inlineStr">
        <is>
          <t>VARBERG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45086</v>
      </c>
      <c r="E391" s="1" t="n">
        <v>46286</v>
      </c>
      <c r="F391" t="inlineStr">
        <is>
          <t>HALLANDS LÄN</t>
        </is>
      </c>
      <c r="G391" t="inlineStr">
        <is>
          <t>VARBERG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51932-2024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45607</v>
      </c>
      <c r="E392" s="1" t="n">
        <v>46286</v>
      </c>
      <c r="F392" t="inlineStr">
        <is>
          <t>HALLANDS LÄN</t>
        </is>
      </c>
      <c r="G392" t="inlineStr">
        <is>
          <t>VARBERG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46286</v>
      </c>
      <c r="F393" t="inlineStr">
        <is>
          <t>HALLANDS LÄN</t>
        </is>
      </c>
      <c r="G393" t="inlineStr">
        <is>
          <t>VARBERG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45637</v>
      </c>
      <c r="E394" s="1" t="n">
        <v>46286</v>
      </c>
      <c r="F394" t="inlineStr">
        <is>
          <t>HALLANDS LÄN</t>
        </is>
      </c>
      <c r="G394" t="inlineStr">
        <is>
          <t>VARBERG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45131</v>
      </c>
      <c r="E395" s="1" t="n">
        <v>46286</v>
      </c>
      <c r="F395" t="inlineStr">
        <is>
          <t>HALLANDS LÄN</t>
        </is>
      </c>
      <c r="G395" t="inlineStr">
        <is>
          <t>VARBERG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46286</v>
      </c>
      <c r="F396" t="inlineStr">
        <is>
          <t>HALLANDS LÄN</t>
        </is>
      </c>
      <c r="G396" t="inlineStr">
        <is>
          <t>VARBERG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46286</v>
      </c>
      <c r="F397" t="inlineStr">
        <is>
          <t>HALLANDS LÄN</t>
        </is>
      </c>
      <c r="G397" t="inlineStr">
        <is>
          <t>VARBERG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45819</v>
      </c>
      <c r="E398" s="1" t="n">
        <v>46286</v>
      </c>
      <c r="F398" t="inlineStr">
        <is>
          <t>HALLANDS LÄN</t>
        </is>
      </c>
      <c r="G398" t="inlineStr">
        <is>
          <t>VARBERG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46286</v>
      </c>
      <c r="F399" t="inlineStr">
        <is>
          <t>HALLANDS LÄN</t>
        </is>
      </c>
      <c r="G399" t="inlineStr">
        <is>
          <t>VARBERG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36425-2026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46269</v>
      </c>
      <c r="E400" s="1" t="n">
        <v>46286</v>
      </c>
      <c r="F400" t="inlineStr">
        <is>
          <t>HALLANDS LÄN</t>
        </is>
      </c>
      <c r="G400" t="inlineStr">
        <is>
          <t>VARBERG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36423-2026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46269</v>
      </c>
      <c r="E401" s="1" t="n">
        <v>46286</v>
      </c>
      <c r="F401" t="inlineStr">
        <is>
          <t>HALLANDS LÄN</t>
        </is>
      </c>
      <c r="G401" t="inlineStr">
        <is>
          <t>VARBERG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46286</v>
      </c>
      <c r="F402" t="inlineStr">
        <is>
          <t>HALLANDS LÄN</t>
        </is>
      </c>
      <c r="G402" t="inlineStr">
        <is>
          <t>VARBERG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36407-2026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46268</v>
      </c>
      <c r="E403" s="1" t="n">
        <v>46286</v>
      </c>
      <c r="F403" t="inlineStr">
        <is>
          <t>HALLANDS LÄN</t>
        </is>
      </c>
      <c r="G403" t="inlineStr">
        <is>
          <t>VARBERG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46269</v>
      </c>
      <c r="E404" s="1" t="n">
        <v>46286</v>
      </c>
      <c r="F404" t="inlineStr">
        <is>
          <t>HALLANDS LÄN</t>
        </is>
      </c>
      <c r="G404" t="inlineStr">
        <is>
          <t>VARBERG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46273</v>
      </c>
      <c r="E405" s="1" t="n">
        <v>46286</v>
      </c>
      <c r="F405" t="inlineStr">
        <is>
          <t>HALLANDS LÄN</t>
        </is>
      </c>
      <c r="G405" t="inlineStr">
        <is>
          <t>VARBERG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46273</v>
      </c>
      <c r="E406" s="1" t="n">
        <v>46286</v>
      </c>
      <c r="F406" t="inlineStr">
        <is>
          <t>HALLANDS LÄN</t>
        </is>
      </c>
      <c r="G406" t="inlineStr">
        <is>
          <t>VARBERG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46234</v>
      </c>
      <c r="E407" s="1" t="n">
        <v>46286</v>
      </c>
      <c r="F407" t="inlineStr">
        <is>
          <t>HALLANDS LÄN</t>
        </is>
      </c>
      <c r="G407" t="inlineStr">
        <is>
          <t>VARBERG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46286</v>
      </c>
      <c r="F408" t="inlineStr">
        <is>
          <t>HALLANDS LÄN</t>
        </is>
      </c>
      <c r="G408" t="inlineStr">
        <is>
          <t>VARBERG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46286</v>
      </c>
      <c r="F409" t="inlineStr">
        <is>
          <t>HALLANDS LÄN</t>
        </is>
      </c>
      <c r="G409" t="inlineStr">
        <is>
          <t>VARBERG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46286</v>
      </c>
      <c r="F410" t="inlineStr">
        <is>
          <t>HALLANDS LÄN</t>
        </is>
      </c>
      <c r="G410" t="inlineStr">
        <is>
          <t>VARBERG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45791</v>
      </c>
      <c r="E411" s="1" t="n">
        <v>46286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36424-2026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46269</v>
      </c>
      <c r="E412" s="1" t="n">
        <v>46286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46286</v>
      </c>
      <c r="F413" t="inlineStr">
        <is>
          <t>HALLANDS LÄN</t>
        </is>
      </c>
      <c r="G413" t="inlineStr">
        <is>
          <t>VARBERG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45791</v>
      </c>
      <c r="E414" s="1" t="n">
        <v>46286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46280</v>
      </c>
      <c r="E415" s="1" t="n">
        <v>46286</v>
      </c>
      <c r="F415" t="inlineStr">
        <is>
          <t>HALLANDS LÄN</t>
        </is>
      </c>
      <c r="G415" t="inlineStr">
        <is>
          <t>VARBERG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46286</v>
      </c>
      <c r="F416" t="inlineStr">
        <is>
          <t>HALLANDS LÄN</t>
        </is>
      </c>
      <c r="G416" t="inlineStr">
        <is>
          <t>VARBERG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46286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32234-2026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46237</v>
      </c>
      <c r="E418" s="1" t="n">
        <v>46286</v>
      </c>
      <c r="F418" t="inlineStr">
        <is>
          <t>HALLANDS LÄN</t>
        </is>
      </c>
      <c r="G418" t="inlineStr">
        <is>
          <t>VARBERG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46286</v>
      </c>
      <c r="F419" t="inlineStr">
        <is>
          <t>HALLANDS LÄN</t>
        </is>
      </c>
      <c r="G419" t="inlineStr">
        <is>
          <t>VARBERG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45336</v>
      </c>
      <c r="E420" s="1" t="n">
        <v>46286</v>
      </c>
      <c r="F420" t="inlineStr">
        <is>
          <t>HALLANDS LÄN</t>
        </is>
      </c>
      <c r="G420" t="inlineStr">
        <is>
          <t>VARBERG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45804</v>
      </c>
      <c r="E421" s="1" t="n">
        <v>46286</v>
      </c>
      <c r="F421" t="inlineStr">
        <is>
          <t>HALLANDS LÄN</t>
        </is>
      </c>
      <c r="G421" t="inlineStr">
        <is>
          <t>VARBERG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26117-2025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45805</v>
      </c>
      <c r="E422" s="1" t="n">
        <v>46286</v>
      </c>
      <c r="F422" t="inlineStr">
        <is>
          <t>HALLANDS LÄN</t>
        </is>
      </c>
      <c r="G422" t="inlineStr">
        <is>
          <t>VARBERG</t>
        </is>
      </c>
      <c r="H422" t="inlineStr">
        <is>
          <t>Kommuner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45804</v>
      </c>
      <c r="E423" s="1" t="n">
        <v>46286</v>
      </c>
      <c r="F423" t="inlineStr">
        <is>
          <t>HALLANDS LÄN</t>
        </is>
      </c>
      <c r="G423" t="inlineStr">
        <is>
          <t>VARBERG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28092-2024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45476</v>
      </c>
      <c r="E424" s="1" t="n">
        <v>46286</v>
      </c>
      <c r="F424" t="inlineStr">
        <is>
          <t>HALLANDS LÄN</t>
        </is>
      </c>
      <c r="G424" t="inlineStr">
        <is>
          <t>VARBERG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45352</v>
      </c>
      <c r="E425" s="1" t="n">
        <v>46286</v>
      </c>
      <c r="F425" t="inlineStr">
        <is>
          <t>HALLANDS LÄN</t>
        </is>
      </c>
      <c r="G425" t="inlineStr">
        <is>
          <t>VARBERG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46286</v>
      </c>
      <c r="F426" t="inlineStr">
        <is>
          <t>HALLANDS LÄN</t>
        </is>
      </c>
      <c r="G426" t="inlineStr">
        <is>
          <t>VARBERG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46286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46286</v>
      </c>
      <c r="F428" t="inlineStr">
        <is>
          <t>HALLANDS LÄN</t>
        </is>
      </c>
      <c r="G428" t="inlineStr">
        <is>
          <t>VARBERG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46286</v>
      </c>
      <c r="F429" t="inlineStr">
        <is>
          <t>HALLANDS LÄN</t>
        </is>
      </c>
      <c r="G429" t="inlineStr">
        <is>
          <t>VARBERG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46286</v>
      </c>
      <c r="F430" t="inlineStr">
        <is>
          <t>HALLANDS LÄN</t>
        </is>
      </c>
      <c r="G430" t="inlineStr">
        <is>
          <t>VARBERG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46286</v>
      </c>
      <c r="F431" t="inlineStr">
        <is>
          <t>HALLANDS LÄN</t>
        </is>
      </c>
      <c r="G431" t="inlineStr">
        <is>
          <t>VARBERG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46286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46286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46286</v>
      </c>
      <c r="F434" t="inlineStr">
        <is>
          <t>HALLANDS LÄN</t>
        </is>
      </c>
      <c r="G434" t="inlineStr">
        <is>
          <t>VARBERG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46286</v>
      </c>
      <c r="F435" t="inlineStr">
        <is>
          <t>HALLANDS LÄN</t>
        </is>
      </c>
      <c r="G435" t="inlineStr">
        <is>
          <t>VARBERG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45839</v>
      </c>
      <c r="E436" s="1" t="n">
        <v>46286</v>
      </c>
      <c r="F436" t="inlineStr">
        <is>
          <t>HALLANDS LÄN</t>
        </is>
      </c>
      <c r="G436" t="inlineStr">
        <is>
          <t>VARBERG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46286</v>
      </c>
      <c r="F437" t="inlineStr">
        <is>
          <t>HALLANDS LÄN</t>
        </is>
      </c>
      <c r="G437" t="inlineStr">
        <is>
          <t>VARBERG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34949-2025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45849</v>
      </c>
      <c r="E438" s="1" t="n">
        <v>46286</v>
      </c>
      <c r="F438" t="inlineStr">
        <is>
          <t>HALLANDS LÄN</t>
        </is>
      </c>
      <c r="G438" t="inlineStr">
        <is>
          <t>VARBERG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45736</v>
      </c>
      <c r="E439" s="1" t="n">
        <v>46286</v>
      </c>
      <c r="F439" t="inlineStr">
        <is>
          <t>HALLANDS LÄN</t>
        </is>
      </c>
      <c r="G439" t="inlineStr">
        <is>
          <t>VARBERG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46286</v>
      </c>
      <c r="F440" t="inlineStr">
        <is>
          <t>HALLANDS LÄN</t>
        </is>
      </c>
      <c r="G440" t="inlineStr">
        <is>
          <t>VARBERG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46286</v>
      </c>
      <c r="F441" t="inlineStr">
        <is>
          <t>HALLANDS LÄN</t>
        </is>
      </c>
      <c r="G441" t="inlineStr">
        <is>
          <t>VARBERG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35126-2025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45852</v>
      </c>
      <c r="E442" s="1" t="n">
        <v>46286</v>
      </c>
      <c r="F442" t="inlineStr">
        <is>
          <t>HALLANDS LÄN</t>
        </is>
      </c>
      <c r="G442" t="inlineStr">
        <is>
          <t>VARBERG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46286</v>
      </c>
      <c r="F443" t="inlineStr">
        <is>
          <t>HALLANDS LÄN</t>
        </is>
      </c>
      <c r="G443" t="inlineStr">
        <is>
          <t>VARBERG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41864-2022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44829</v>
      </c>
      <c r="E444" s="1" t="n">
        <v>46286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56853-2021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44481</v>
      </c>
      <c r="E445" s="1" t="n">
        <v>46286</v>
      </c>
      <c r="F445" t="inlineStr">
        <is>
          <t>HALLANDS LÄN</t>
        </is>
      </c>
      <c r="G445" t="inlineStr">
        <is>
          <t>VARBERG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44818</v>
      </c>
      <c r="E446" s="1" t="n">
        <v>46286</v>
      </c>
      <c r="F446" t="inlineStr">
        <is>
          <t>HALLANDS LÄN</t>
        </is>
      </c>
      <c r="G446" t="inlineStr">
        <is>
          <t>VARBERG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46286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72361-2021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44545</v>
      </c>
      <c r="E448" s="1" t="n">
        <v>46286</v>
      </c>
      <c r="F448" t="inlineStr">
        <is>
          <t>HALLANDS LÄN</t>
        </is>
      </c>
      <c r="G448" t="inlineStr">
        <is>
          <t>VARBERG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44767</v>
      </c>
      <c r="E449" s="1" t="n">
        <v>46286</v>
      </c>
      <c r="F449" t="inlineStr">
        <is>
          <t>HALLANDS LÄN</t>
        </is>
      </c>
      <c r="G449" t="inlineStr">
        <is>
          <t>VARBERG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30917-2022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46286</v>
      </c>
      <c r="F450" t="inlineStr">
        <is>
          <t>HALLANDS LÄN</t>
        </is>
      </c>
      <c r="G450" t="inlineStr">
        <is>
          <t>VARBERG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44982</v>
      </c>
      <c r="E451" s="1" t="n">
        <v>46286</v>
      </c>
      <c r="F451" t="inlineStr">
        <is>
          <t>HALLANDS LÄN</t>
        </is>
      </c>
      <c r="G451" t="inlineStr">
        <is>
          <t>VARBERG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45365</v>
      </c>
      <c r="E452" s="1" t="n">
        <v>46286</v>
      </c>
      <c r="F452" t="inlineStr">
        <is>
          <t>HALLANDS LÄN</t>
        </is>
      </c>
      <c r="G452" t="inlineStr">
        <is>
          <t>VARBERG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46286</v>
      </c>
      <c r="F453" t="inlineStr">
        <is>
          <t>HALLANDS LÄN</t>
        </is>
      </c>
      <c r="G453" t="inlineStr">
        <is>
          <t>VARBERG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44949</v>
      </c>
      <c r="E454" s="1" t="n">
        <v>46286</v>
      </c>
      <c r="F454" t="inlineStr">
        <is>
          <t>HALLANDS LÄN</t>
        </is>
      </c>
      <c r="G454" t="inlineStr">
        <is>
          <t>VARBERG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45271</v>
      </c>
      <c r="E455" s="1" t="n">
        <v>46286</v>
      </c>
      <c r="F455" t="inlineStr">
        <is>
          <t>HALLANDS LÄN</t>
        </is>
      </c>
      <c r="G455" t="inlineStr">
        <is>
          <t>VARBERG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45313</v>
      </c>
      <c r="E456" s="1" t="n">
        <v>46286</v>
      </c>
      <c r="F456" t="inlineStr">
        <is>
          <t>HALLANDS LÄN</t>
        </is>
      </c>
      <c r="G456" t="inlineStr">
        <is>
          <t>VARBERG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45713</v>
      </c>
      <c r="E457" s="1" t="n">
        <v>46286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49760-2024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45597</v>
      </c>
      <c r="E458" s="1" t="n">
        <v>46286</v>
      </c>
      <c r="F458" t="inlineStr">
        <is>
          <t>HALLANDS LÄN</t>
        </is>
      </c>
      <c r="G458" t="inlineStr">
        <is>
          <t>VARBERG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46286</v>
      </c>
      <c r="F459" t="inlineStr">
        <is>
          <t>HALLANDS LÄN</t>
        </is>
      </c>
      <c r="G459" t="inlineStr">
        <is>
          <t>VARBERG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45873</v>
      </c>
      <c r="E460" s="1" t="n">
        <v>46286</v>
      </c>
      <c r="F460" t="inlineStr">
        <is>
          <t>HALLANDS LÄN</t>
        </is>
      </c>
      <c r="G460" t="inlineStr">
        <is>
          <t>VARBERG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42566-2022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46286</v>
      </c>
      <c r="F461" t="inlineStr">
        <is>
          <t>HALLANDS LÄN</t>
        </is>
      </c>
      <c r="G461" t="inlineStr">
        <is>
          <t>VARBERG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45877</v>
      </c>
      <c r="E462" s="1" t="n">
        <v>46286</v>
      </c>
      <c r="F462" t="inlineStr">
        <is>
          <t>HALLANDS LÄN</t>
        </is>
      </c>
      <c r="G462" t="inlineStr">
        <is>
          <t>VARBERG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46286</v>
      </c>
      <c r="F463" t="inlineStr">
        <is>
          <t>HALLANDS LÄN</t>
        </is>
      </c>
      <c r="G463" t="inlineStr">
        <is>
          <t>VARBERG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6247-2022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44868</v>
      </c>
      <c r="E464" s="1" t="n">
        <v>46286</v>
      </c>
      <c r="F464" t="inlineStr">
        <is>
          <t>HALLANDS LÄN</t>
        </is>
      </c>
      <c r="G464" t="inlineStr">
        <is>
          <t>VARBERG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6873-2022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46286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81-2024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46286</v>
      </c>
      <c r="F466" t="inlineStr">
        <is>
          <t>HALLANDS LÄN</t>
        </is>
      </c>
      <c r="G466" t="inlineStr">
        <is>
          <t>VARBERG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9190-2021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44522</v>
      </c>
      <c r="E467" s="1" t="n">
        <v>46286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46286</v>
      </c>
      <c r="F468" t="inlineStr">
        <is>
          <t>HALLANDS LÄN</t>
        </is>
      </c>
      <c r="G468" t="inlineStr">
        <is>
          <t>VARBERG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1525-2024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45425</v>
      </c>
      <c r="E469" s="1" t="n">
        <v>46286</v>
      </c>
      <c r="F469" t="inlineStr">
        <is>
          <t>HALLANDS LÄN</t>
        </is>
      </c>
      <c r="G469" t="inlineStr">
        <is>
          <t>VARBERG</t>
        </is>
      </c>
      <c r="I469" t="n">
        <v>21.5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1601-2024</t>
        </is>
      </c>
      <c r="B470" t="inlineStr">
        <is>
          <t>samrådsanmälan</t>
        </is>
      </c>
      <c r="C470" t="inlineStr">
        <is>
          <t>Skogsbilväg</t>
        </is>
      </c>
      <c r="D470" s="1" t="n">
        <v>45428</v>
      </c>
      <c r="E470" s="1" t="n">
        <v>46286</v>
      </c>
      <c r="F470" t="inlineStr">
        <is>
          <t>HALLANDS LÄN</t>
        </is>
      </c>
      <c r="G470" t="inlineStr">
        <is>
          <t>VARBERG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6863-2022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44895</v>
      </c>
      <c r="E471" s="1" t="n">
        <v>46286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3713-2024</t>
        </is>
      </c>
      <c r="B472" t="inlineStr">
        <is>
          <t>samrådsanmälan</t>
        </is>
      </c>
      <c r="C472" t="inlineStr">
        <is>
          <t>Dikesrensning</t>
        </is>
      </c>
      <c r="D472" s="1" t="n">
        <v>45554</v>
      </c>
      <c r="E472" s="1" t="n">
        <v>46286</v>
      </c>
      <c r="F472" t="inlineStr">
        <is>
          <t>HALLANDS LÄN</t>
        </is>
      </c>
      <c r="G472" t="inlineStr">
        <is>
          <t>VARBERG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630-2024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45355</v>
      </c>
      <c r="E473" s="1" t="n">
        <v>46286</v>
      </c>
      <c r="F473" t="inlineStr">
        <is>
          <t>HALLANDS LÄN</t>
        </is>
      </c>
      <c r="G473" t="inlineStr">
        <is>
          <t>VARBERG</t>
        </is>
      </c>
      <c r="I473" t="n">
        <v>20.4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75-2024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46286</v>
      </c>
      <c r="F474" t="inlineStr">
        <is>
          <t>HALLANDS LÄN</t>
        </is>
      </c>
      <c r="G474" t="inlineStr">
        <is>
          <t>VARBERG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7377-2021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44470</v>
      </c>
      <c r="E475" s="1" t="n">
        <v>46286</v>
      </c>
      <c r="F475" t="inlineStr">
        <is>
          <t>HALLANDS LÄN</t>
        </is>
      </c>
      <c r="G475" t="inlineStr">
        <is>
          <t>VARBERG</t>
        </is>
      </c>
      <c r="I475" t="n">
        <v>45.3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2133-2025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45847</v>
      </c>
      <c r="E476" s="1" t="n">
        <v>46286</v>
      </c>
      <c r="F476" t="inlineStr">
        <is>
          <t>HALLANDS LÄN</t>
        </is>
      </c>
      <c r="G476" t="inlineStr">
        <is>
          <t>VARBERG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139-2026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46286</v>
      </c>
      <c r="F477" t="inlineStr">
        <is>
          <t>HALLANDS LÄN</t>
        </is>
      </c>
      <c r="G477" t="inlineStr">
        <is>
          <t>VARBERG</t>
        </is>
      </c>
      <c r="I477" t="n">
        <v>38.9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46286</v>
      </c>
      <c r="F478" t="inlineStr">
        <is>
          <t>HALLANDS LÄN</t>
        </is>
      </c>
      <c r="G478" t="inlineStr">
        <is>
          <t>VARBERG</t>
        </is>
      </c>
      <c r="I478" t="n">
        <v>23.1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141-2026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46286</v>
      </c>
      <c r="F479" t="inlineStr">
        <is>
          <t>HALLANDS LÄN</t>
        </is>
      </c>
      <c r="G479" t="inlineStr">
        <is>
          <t>VARBERG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1400-2026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46286</v>
      </c>
      <c r="F480" t="inlineStr">
        <is>
          <t>HALLANDS LÄN</t>
        </is>
      </c>
      <c r="G480" t="inlineStr">
        <is>
          <t>VARBERG</t>
        </is>
      </c>
      <c r="I480" t="n">
        <v>15.4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1402-2026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46286</v>
      </c>
      <c r="F481" t="inlineStr">
        <is>
          <t>HALLANDS LÄN</t>
        </is>
      </c>
      <c r="G481" t="inlineStr">
        <is>
          <t>VARBERG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2273-2026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46264</v>
      </c>
      <c r="E482" s="1" t="n">
        <v>46286</v>
      </c>
      <c r="F482" t="inlineStr">
        <is>
          <t>HALLANDS LÄN</t>
        </is>
      </c>
      <c r="G482" t="inlineStr">
        <is>
          <t>VARBERG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2026-09-21T02:05:36Z</dcterms:created>
  <dcterms:modified xmlns:dcterms="http://purl.org/dc/terms/" xmlns:xsi="http://www.w3.org/2001/XMLSchema-instance" xsi:type="dcterms:W3CDTF">2026-09-21T02:05:37Z</dcterms:modified>
</cp:coreProperties>
</file>