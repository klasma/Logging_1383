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46258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46258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46258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46258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46258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49083-2022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44860</v>
      </c>
      <c r="E16" s="1" t="n">
        <v>46258</v>
      </c>
      <c r="F16" t="inlineStr">
        <is>
          <t>HALLANDS LÄN</t>
        </is>
      </c>
      <c r="G16" t="inlineStr">
        <is>
          <t>VARBERG</t>
        </is>
      </c>
      <c r="I16" t="n">
        <v>13.3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Kambräken</t>
        </is>
      </c>
      <c r="W16">
        <f>HYPERLINK("https://klasma.github.io/Logging_1383/artfynd/A 49083-2022 artfynd.xlsx", "A 49083-2022")</f>
        <v/>
      </c>
      <c r="X16">
        <f>HYPERLINK("https://klasma.github.io/Logging_1383/kartor/A 49083-2022 karta.png", "A 49083-2022")</f>
        <v/>
      </c>
      <c r="Y16">
        <f>HYPERLINK("https://klasma.github.io/Logging_1383/kartor_geotiff/A 49083-2022 georefererad karta.tif", "A 49083-2022")</f>
        <v/>
      </c>
      <c r="AA16">
        <f>HYPERLINK("https://klasma.github.io/Logging_1383/klagomål/A 49083-2022 FSC-klagomål.docx", "A 49083-2022")</f>
        <v/>
      </c>
      <c r="AB16">
        <f>HYPERLINK("https://klasma.github.io/Logging_1383/klagomålsmail/A 49083-2022 FSC-klagomål mail.docx", "A 49083-2022")</f>
        <v/>
      </c>
      <c r="AC16">
        <f>HYPERLINK("https://klasma.github.io/Logging_1383/tillsyn/A 49083-2022 tillsynsbegäran.docx", "A 49083-2022")</f>
        <v/>
      </c>
      <c r="AD16">
        <f>HYPERLINK("https://klasma.github.io/Logging_1383/tillsynsmail/A 49083-2022 tillsynsbegäran mail.docx", "A 49083-2022")</f>
        <v/>
      </c>
    </row>
    <row r="17" ht="15" customHeight="1">
      <c r="A17" t="inlineStr">
        <is>
          <t>A 15095-2025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46258</v>
      </c>
      <c r="F17" t="inlineStr">
        <is>
          <t>HALLANDS LÄN</t>
        </is>
      </c>
      <c r="G17" t="inlineStr">
        <is>
          <t>VARBERG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Sotvaxskivling</t>
        </is>
      </c>
      <c r="W17">
        <f>HYPERLINK("https://klasma.github.io/Logging_1383/artfynd/A 15095-2025 artfynd.xlsx", "A 15095-2025")</f>
        <v/>
      </c>
      <c r="X17">
        <f>HYPERLINK("https://klasma.github.io/Logging_1383/kartor/A 15095-2025 karta.png", "A 15095-2025")</f>
        <v/>
      </c>
      <c r="Y17">
        <f>HYPERLINK("https://klasma.github.io/Logging_1383/kartor_geotiff/A 15095-2025 georefererad karta.tif", "A 15095-2025")</f>
        <v/>
      </c>
      <c r="AA17">
        <f>HYPERLINK("https://klasma.github.io/Logging_1383/klagomål/A 15095-2025 FSC-klagomål.docx", "A 15095-2025")</f>
        <v/>
      </c>
      <c r="AB17">
        <f>HYPERLINK("https://klasma.github.io/Logging_1383/klagomålsmail/A 15095-2025 FSC-klagomål mail.docx", "A 15095-2025")</f>
        <v/>
      </c>
      <c r="AC17">
        <f>HYPERLINK("https://klasma.github.io/Logging_1383/tillsyn/A 15095-2025 tillsynsbegäran.docx", "A 15095-2025")</f>
        <v/>
      </c>
      <c r="AD17">
        <f>HYPERLINK("https://klasma.github.io/Logging_1383/tillsynsmail/A 15095-2025 tillsynsbegäran mail.docx", "A 15095-2025")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46258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46258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46258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7038-2024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46258</v>
      </c>
      <c r="F21" t="inlineStr">
        <is>
          <t>HALLANDS LÄN</t>
        </is>
      </c>
      <c r="G21" t="inlineStr">
        <is>
          <t>VARBERG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Dvärgjohannesört</t>
        </is>
      </c>
      <c r="W21">
        <f>HYPERLINK("https://klasma.github.io/Logging_1383/artfynd/A 7038-2024 artfynd.xlsx", "A 7038-2024")</f>
        <v/>
      </c>
      <c r="X21">
        <f>HYPERLINK("https://klasma.github.io/Logging_1383/kartor/A 7038-2024 karta.png", "A 7038-2024")</f>
        <v/>
      </c>
      <c r="Y21">
        <f>HYPERLINK("https://klasma.github.io/Logging_1383/kartor_geotiff/A 7038-2024 georefererad karta.tif", "A 7038-2024")</f>
        <v/>
      </c>
      <c r="AA21">
        <f>HYPERLINK("https://klasma.github.io/Logging_1383/klagomål/A 7038-2024 FSC-klagomål.docx", "A 7038-2024")</f>
        <v/>
      </c>
      <c r="AB21">
        <f>HYPERLINK("https://klasma.github.io/Logging_1383/klagomålsmail/A 7038-2024 FSC-klagomål mail.docx", "A 7038-2024")</f>
        <v/>
      </c>
      <c r="AC21">
        <f>HYPERLINK("https://klasma.github.io/Logging_1383/tillsyn/A 7038-2024 tillsynsbegäran.docx", "A 7038-2024")</f>
        <v/>
      </c>
      <c r="AD21">
        <f>HYPERLINK("https://klasma.github.io/Logging_1383/tillsynsmail/A 7038-2024 tillsynsbegäran mail.docx", "A 7038-2024")</f>
        <v/>
      </c>
    </row>
    <row r="22" ht="15" customHeight="1">
      <c r="A22" t="inlineStr">
        <is>
          <t>A 61966-2022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44918</v>
      </c>
      <c r="E22" s="1" t="n">
        <v>46258</v>
      </c>
      <c r="F22" t="inlineStr">
        <is>
          <t>HALLANDS LÄN</t>
        </is>
      </c>
      <c r="G22" t="inlineStr">
        <is>
          <t>VARBERG</t>
        </is>
      </c>
      <c r="I22" t="n">
        <v>0.7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Åkersyska</t>
        </is>
      </c>
      <c r="W22">
        <f>HYPERLINK("https://klasma.github.io/Logging_1383/artfynd/A 61966-2022 artfynd.xlsx", "A 61966-2022")</f>
        <v/>
      </c>
      <c r="X22">
        <f>HYPERLINK("https://klasma.github.io/Logging_1383/kartor/A 61966-2022 karta.png", "A 61966-2022")</f>
        <v/>
      </c>
      <c r="Y22">
        <f>HYPERLINK("https://klasma.github.io/Logging_1383/kartor_geotiff/A 61966-2022 georefererad karta.tif", "A 61966-2022")</f>
        <v/>
      </c>
      <c r="AA22">
        <f>HYPERLINK("https://klasma.github.io/Logging_1383/klagomål/A 61966-2022 FSC-klagomål.docx", "A 61966-2022")</f>
        <v/>
      </c>
      <c r="AB22">
        <f>HYPERLINK("https://klasma.github.io/Logging_1383/klagomålsmail/A 61966-2022 FSC-klagomål mail.docx", "A 61966-2022")</f>
        <v/>
      </c>
      <c r="AC22">
        <f>HYPERLINK("https://klasma.github.io/Logging_1383/tillsyn/A 61966-2022 tillsynsbegäran.docx", "A 61966-2022")</f>
        <v/>
      </c>
      <c r="AD22">
        <f>HYPERLINK("https://klasma.github.io/Logging_1383/tillsynsmail/A 61966-2022 tillsynsbegäran mail.docx", "A 61966-2022")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46258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34833-2023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45141</v>
      </c>
      <c r="E24" s="1" t="n">
        <v>46258</v>
      </c>
      <c r="F24" t="inlineStr">
        <is>
          <t>HALLANDS LÄN</t>
        </is>
      </c>
      <c r="G24" t="inlineStr">
        <is>
          <t>VARBERG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HYPERLINK("https://klasma.github.io/Logging_1383/artfynd/A 34833-2023 artfynd.xlsx", "A 34833-2023")</f>
        <v/>
      </c>
      <c r="X24">
        <f>HYPERLINK("https://klasma.github.io/Logging_1383/kartor/A 34833-2023 karta.png", "A 34833-2023")</f>
        <v/>
      </c>
      <c r="Y24">
        <f>HYPERLINK("https://klasma.github.io/Logging_1383/kartor_geotiff/A 34833-2023 georefererad karta.tif", "A 34833-2023")</f>
        <v/>
      </c>
      <c r="AA24">
        <f>HYPERLINK("https://klasma.github.io/Logging_1383/klagomål/A 34833-2023 FSC-klagomål.docx", "A 34833-2023")</f>
        <v/>
      </c>
      <c r="AB24">
        <f>HYPERLINK("https://klasma.github.io/Logging_1383/klagomålsmail/A 34833-2023 FSC-klagomål mail.docx", "A 34833-2023")</f>
        <v/>
      </c>
      <c r="AC24">
        <f>HYPERLINK("https://klasma.github.io/Logging_1383/tillsyn/A 34833-2023 tillsynsbegäran.docx", "A 34833-2023")</f>
        <v/>
      </c>
      <c r="AD24">
        <f>HYPERLINK("https://klasma.github.io/Logging_1383/tillsynsmail/A 34833-2023 tillsynsbegäran mail.docx", "A 34833-2023")</f>
        <v/>
      </c>
    </row>
    <row r="25" ht="15" customHeight="1">
      <c r="A25" t="inlineStr">
        <is>
          <t>A 3481-2025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46258</v>
      </c>
      <c r="F25" t="inlineStr">
        <is>
          <t>HALLANDS LÄN</t>
        </is>
      </c>
      <c r="G25" t="inlineStr">
        <is>
          <t>VARBERG</t>
        </is>
      </c>
      <c r="I25" t="n">
        <v>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Bivråk</t>
        </is>
      </c>
      <c r="W25">
        <f>HYPERLINK("https://klasma.github.io/Logging_1383/artfynd/A 3481-2025 artfynd.xlsx", "A 3481-2025")</f>
        <v/>
      </c>
      <c r="X25">
        <f>HYPERLINK("https://klasma.github.io/Logging_1383/kartor/A 3481-2025 karta.png", "A 3481-2025")</f>
        <v/>
      </c>
      <c r="Y25">
        <f>HYPERLINK("https://klasma.github.io/Logging_1383/kartor_geotiff/A 3481-2025 georefererad karta.tif", "A 3481-2025")</f>
        <v/>
      </c>
      <c r="AA25">
        <f>HYPERLINK("https://klasma.github.io/Logging_1383/klagomål/A 3481-2025 FSC-klagomål.docx", "A 3481-2025")</f>
        <v/>
      </c>
      <c r="AB25">
        <f>HYPERLINK("https://klasma.github.io/Logging_1383/klagomålsmail/A 3481-2025 FSC-klagomål mail.docx", "A 3481-2025")</f>
        <v/>
      </c>
      <c r="AC25">
        <f>HYPERLINK("https://klasma.github.io/Logging_1383/tillsyn/A 3481-2025 tillsynsbegäran.docx", "A 3481-2025")</f>
        <v/>
      </c>
      <c r="AD25">
        <f>HYPERLINK("https://klasma.github.io/Logging_1383/tillsynsmail/A 3481-2025 tillsynsbegäran mail.docx", "A 3481-2025")</f>
        <v/>
      </c>
      <c r="AE25">
        <f>HYPERLINK("https://klasma.github.io/Logging_1383/fåglar/A 3481-2025 prioriterade fågelarter.docx", "A 3481-2025")</f>
        <v/>
      </c>
    </row>
    <row r="26" ht="15" customHeight="1">
      <c r="A26" t="inlineStr">
        <is>
          <t>A 15066-2022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44657</v>
      </c>
      <c r="E26" s="1" t="n">
        <v>46258</v>
      </c>
      <c r="F26" t="inlineStr">
        <is>
          <t>HALLANDS LÄN</t>
        </is>
      </c>
      <c r="G26" t="inlineStr">
        <is>
          <t>VARBERG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HYPERLINK("https://klasma.github.io/Logging_1383/artfynd/A 15066-2022 artfynd.xlsx", "A 15066-2022")</f>
        <v/>
      </c>
      <c r="X26">
        <f>HYPERLINK("https://klasma.github.io/Logging_1383/kartor/A 15066-2022 karta.png", "A 15066-2022")</f>
        <v/>
      </c>
      <c r="Y26">
        <f>HYPERLINK("https://klasma.github.io/Logging_1383/kartor_geotiff/A 15066-2022 georefererad karta.tif", "A 15066-2022")</f>
        <v/>
      </c>
      <c r="AA26">
        <f>HYPERLINK("https://klasma.github.io/Logging_1383/klagomål/A 15066-2022 FSC-klagomål.docx", "A 15066-2022")</f>
        <v/>
      </c>
      <c r="AB26">
        <f>HYPERLINK("https://klasma.github.io/Logging_1383/klagomålsmail/A 15066-2022 FSC-klagomål mail.docx", "A 15066-2022")</f>
        <v/>
      </c>
      <c r="AC26">
        <f>HYPERLINK("https://klasma.github.io/Logging_1383/tillsyn/A 15066-2022 tillsynsbegäran.docx", "A 15066-2022")</f>
        <v/>
      </c>
      <c r="AD26">
        <f>HYPERLINK("https://klasma.github.io/Logging_1383/tillsynsmail/A 15066-2022 tillsynsbegäran mail.docx", "A 15066-2022")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46258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53915-2021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44469</v>
      </c>
      <c r="E28" s="1" t="n">
        <v>46258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Entita</t>
        </is>
      </c>
      <c r="W28">
        <f>HYPERLINK("https://klasma.github.io/Logging_1383/artfynd/A 53915-2021 artfynd.xlsx", "A 53915-2021")</f>
        <v/>
      </c>
      <c r="X28">
        <f>HYPERLINK("https://klasma.github.io/Logging_1383/kartor/A 53915-2021 karta.png", "A 53915-2021")</f>
        <v/>
      </c>
      <c r="Y28">
        <f>HYPERLINK("https://klasma.github.io/Logging_1383/kartor_geotiff/A 53915-2021 georefererad karta.tif", "A 53915-2021")</f>
        <v/>
      </c>
      <c r="AA28">
        <f>HYPERLINK("https://klasma.github.io/Logging_1383/klagomål/A 53915-2021 FSC-klagomål.docx", "A 53915-2021")</f>
        <v/>
      </c>
      <c r="AB28">
        <f>HYPERLINK("https://klasma.github.io/Logging_1383/klagomålsmail/A 53915-2021 FSC-klagomål mail.docx", "A 53915-2021")</f>
        <v/>
      </c>
      <c r="AC28">
        <f>HYPERLINK("https://klasma.github.io/Logging_1383/tillsyn/A 53915-2021 tillsynsbegäran.docx", "A 53915-2021")</f>
        <v/>
      </c>
      <c r="AD28">
        <f>HYPERLINK("https://klasma.github.io/Logging_1383/tillsynsmail/A 53915-2021 tillsynsbegäran mail.docx", "A 53915-2021")</f>
        <v/>
      </c>
      <c r="AE28">
        <f>HYPERLINK("https://klasma.github.io/Logging_1383/fåglar/A 53915-2021 prioriterade fågelarter.docx", "A 53915-2021")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46258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46258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46258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10751-2025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46258</v>
      </c>
      <c r="F32" t="inlineStr">
        <is>
          <t>HALLANDS LÄN</t>
        </is>
      </c>
      <c r="G32" t="inlineStr">
        <is>
          <t>VARBERG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HYPERLINK("https://klasma.github.io/Logging_1383/artfynd/A 10751-2025 artfynd.xlsx", "A 10751-2025")</f>
        <v/>
      </c>
      <c r="X32">
        <f>HYPERLINK("https://klasma.github.io/Logging_1383/kartor/A 10751-2025 karta.png", "A 10751-2025")</f>
        <v/>
      </c>
      <c r="Y32">
        <f>HYPERLINK("https://klasma.github.io/Logging_1383/kartor_geotiff/A 10751-2025 georefererad karta.tif", "A 10751-2025")</f>
        <v/>
      </c>
      <c r="AA32">
        <f>HYPERLINK("https://klasma.github.io/Logging_1383/klagomål/A 10751-2025 FSC-klagomål.docx", "A 10751-2025")</f>
        <v/>
      </c>
      <c r="AB32">
        <f>HYPERLINK("https://klasma.github.io/Logging_1383/klagomålsmail/A 10751-2025 FSC-klagomål mail.docx", "A 10751-2025")</f>
        <v/>
      </c>
      <c r="AC32">
        <f>HYPERLINK("https://klasma.github.io/Logging_1383/tillsyn/A 10751-2025 tillsynsbegäran.docx", "A 10751-2025")</f>
        <v/>
      </c>
      <c r="AD32">
        <f>HYPERLINK("https://klasma.github.io/Logging_1383/tillsynsmail/A 10751-2025 tillsynsbegäran mail.docx", "A 10751-2025")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46258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33144-2025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46258</v>
      </c>
      <c r="F34" t="inlineStr">
        <is>
          <t>HALLANDS LÄN</t>
        </is>
      </c>
      <c r="G34" t="inlineStr">
        <is>
          <t>VARBERG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33144-2025 artfynd.xlsx", "A 33144-2025")</f>
        <v/>
      </c>
      <c r="X34">
        <f>HYPERLINK("https://klasma.github.io/Logging_1383/kartor/A 33144-2025 karta.png", "A 33144-2025")</f>
        <v/>
      </c>
      <c r="Y34">
        <f>HYPERLINK("https://klasma.github.io/Logging_1383/kartor_geotiff/A 33144-2025 georefererad karta.tif", "A 33144-2025")</f>
        <v/>
      </c>
      <c r="AA34">
        <f>HYPERLINK("https://klasma.github.io/Logging_1383/klagomål/A 33144-2025 FSC-klagomål.docx", "A 33144-2025")</f>
        <v/>
      </c>
      <c r="AB34">
        <f>HYPERLINK("https://klasma.github.io/Logging_1383/klagomålsmail/A 33144-2025 FSC-klagomål mail.docx", "A 33144-2025")</f>
        <v/>
      </c>
      <c r="AC34">
        <f>HYPERLINK("https://klasma.github.io/Logging_1383/tillsyn/A 33144-2025 tillsynsbegäran.docx", "A 33144-2025")</f>
        <v/>
      </c>
      <c r="AD34">
        <f>HYPERLINK("https://klasma.github.io/Logging_1383/tillsynsmail/A 33144-2025 tillsynsbegäran mail.docx", "A 33144-2025")</f>
        <v/>
      </c>
      <c r="AE34">
        <f>HYPERLINK("https://klasma.github.io/Logging_1383/fåglar/A 33144-2025 prioriterade fågelarter.docx", "A 33144-2025")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46258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46258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46258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46258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46258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46258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46258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46258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46258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46258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46258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46258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46258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46258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46258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46258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46258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46258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46258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46258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46258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46258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46258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46258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46258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46258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46258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46258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46258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46258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46258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44711</v>
      </c>
      <c r="E67" s="1" t="n">
        <v>46258</v>
      </c>
      <c r="F67" t="inlineStr">
        <is>
          <t>HALLANDS LÄN</t>
        </is>
      </c>
      <c r="G67" t="inlineStr">
        <is>
          <t>VARBERG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46258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46258</v>
      </c>
      <c r="F69" t="inlineStr">
        <is>
          <t>HALLANDS LÄN</t>
        </is>
      </c>
      <c r="G69" t="inlineStr">
        <is>
          <t>VARBERG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26117-2025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46258</v>
      </c>
      <c r="F70" t="inlineStr">
        <is>
          <t>HALLANDS LÄN</t>
        </is>
      </c>
      <c r="G70" t="inlineStr">
        <is>
          <t>VARBERG</t>
        </is>
      </c>
      <c r="H70" t="inlineStr">
        <is>
          <t>Kommuner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46258</v>
      </c>
      <c r="F71" t="inlineStr">
        <is>
          <t>HALLANDS LÄN</t>
        </is>
      </c>
      <c r="G71" t="inlineStr">
        <is>
          <t>VARBERG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46258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46258</v>
      </c>
      <c r="F73" t="inlineStr">
        <is>
          <t>HALLANDS LÄN</t>
        </is>
      </c>
      <c r="G73" t="inlineStr">
        <is>
          <t>VARBERG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46258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46258</v>
      </c>
      <c r="F75" t="inlineStr">
        <is>
          <t>HALLANDS LÄN</t>
        </is>
      </c>
      <c r="G75" t="inlineStr">
        <is>
          <t>VARBERG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46258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28092-2024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45476</v>
      </c>
      <c r="E77" s="1" t="n">
        <v>46258</v>
      </c>
      <c r="F77" t="inlineStr">
        <is>
          <t>HALLANDS LÄN</t>
        </is>
      </c>
      <c r="G77" t="inlineStr">
        <is>
          <t>VARBERG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46258</v>
      </c>
      <c r="F78" t="inlineStr">
        <is>
          <t>HALLANDS LÄN</t>
        </is>
      </c>
      <c r="G78" t="inlineStr">
        <is>
          <t>VARBERG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44811</v>
      </c>
      <c r="E79" s="1" t="n">
        <v>46258</v>
      </c>
      <c r="F79" t="inlineStr">
        <is>
          <t>HALLANDS LÄN</t>
        </is>
      </c>
      <c r="G79" t="inlineStr">
        <is>
          <t>VARBERG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46258</v>
      </c>
      <c r="F80" t="inlineStr">
        <is>
          <t>HALLANDS LÄN</t>
        </is>
      </c>
      <c r="G80" t="inlineStr">
        <is>
          <t>VARBERG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46258</v>
      </c>
      <c r="F81" t="inlineStr">
        <is>
          <t>HALLANDS LÄN</t>
        </is>
      </c>
      <c r="G81" t="inlineStr">
        <is>
          <t>VARBERG</t>
        </is>
      </c>
      <c r="H81" t="inlineStr">
        <is>
          <t>Övriga statliga verk och myndigheter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9235-2023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46258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46258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45275</v>
      </c>
      <c r="E84" s="1" t="n">
        <v>46258</v>
      </c>
      <c r="F84" t="inlineStr">
        <is>
          <t>HALLANDS LÄN</t>
        </is>
      </c>
      <c r="G84" t="inlineStr">
        <is>
          <t>VARBERG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46258</v>
      </c>
      <c r="F85" t="inlineStr">
        <is>
          <t>HALLANDS LÄN</t>
        </is>
      </c>
      <c r="G85" t="inlineStr">
        <is>
          <t>VARBERG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46258</v>
      </c>
      <c r="F86" t="inlineStr">
        <is>
          <t>HALLANDS LÄN</t>
        </is>
      </c>
      <c r="G86" t="inlineStr">
        <is>
          <t>VARBERG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51932-2024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45607</v>
      </c>
      <c r="E87" s="1" t="n">
        <v>46258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46258</v>
      </c>
      <c r="F88" t="inlineStr">
        <is>
          <t>HALLANDS LÄN</t>
        </is>
      </c>
      <c r="G88" t="inlineStr">
        <is>
          <t>VARBERG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46258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46258</v>
      </c>
      <c r="F90" t="inlineStr">
        <is>
          <t>HALLANDS LÄN</t>
        </is>
      </c>
      <c r="G90" t="inlineStr">
        <is>
          <t>VARBERG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46258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46258</v>
      </c>
      <c r="F92" t="inlineStr">
        <is>
          <t>HALLANDS LÄN</t>
        </is>
      </c>
      <c r="G92" t="inlineStr">
        <is>
          <t>VARBERG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45364</v>
      </c>
      <c r="E93" s="1" t="n">
        <v>46258</v>
      </c>
      <c r="F93" t="inlineStr">
        <is>
          <t>HALLANDS LÄN</t>
        </is>
      </c>
      <c r="G93" t="inlineStr">
        <is>
          <t>VARBERG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46258</v>
      </c>
      <c r="F94" t="inlineStr">
        <is>
          <t>HALLANDS LÄN</t>
        </is>
      </c>
      <c r="G94" t="inlineStr">
        <is>
          <t>VARBERG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35018-2025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45851</v>
      </c>
      <c r="E95" s="1" t="n">
        <v>46258</v>
      </c>
      <c r="F95" t="inlineStr">
        <is>
          <t>HALLANDS LÄN</t>
        </is>
      </c>
      <c r="G95" t="inlineStr">
        <is>
          <t>VARBERG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46258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46258</v>
      </c>
      <c r="F97" t="inlineStr">
        <is>
          <t>HALLANDS LÄN</t>
        </is>
      </c>
      <c r="G97" t="inlineStr">
        <is>
          <t>VARBERG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44622</v>
      </c>
      <c r="E98" s="1" t="n">
        <v>46258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46258</v>
      </c>
      <c r="F99" t="inlineStr">
        <is>
          <t>HALLANDS LÄN</t>
        </is>
      </c>
      <c r="G99" t="inlineStr">
        <is>
          <t>VARBERG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46258</v>
      </c>
      <c r="F100" t="inlineStr">
        <is>
          <t>HALLANDS LÄN</t>
        </is>
      </c>
      <c r="G100" t="inlineStr">
        <is>
          <t>VARBERG</t>
        </is>
      </c>
      <c r="I100" t="n">
        <v>18.8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46258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45910</v>
      </c>
      <c r="E102" s="1" t="n">
        <v>46258</v>
      </c>
      <c r="F102" t="inlineStr">
        <is>
          <t>HALLANDS LÄN</t>
        </is>
      </c>
      <c r="G102" t="inlineStr">
        <is>
          <t>VARBERG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46258</v>
      </c>
      <c r="F103" t="inlineStr">
        <is>
          <t>HALLANDS LÄN</t>
        </is>
      </c>
      <c r="G103" t="inlineStr">
        <is>
          <t>VARBERG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46258</v>
      </c>
      <c r="F104" t="inlineStr">
        <is>
          <t>HALLANDS LÄN</t>
        </is>
      </c>
      <c r="G104" t="inlineStr">
        <is>
          <t>VARBERG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46258</v>
      </c>
      <c r="F105" t="inlineStr">
        <is>
          <t>HALLANDS LÄN</t>
        </is>
      </c>
      <c r="G105" t="inlineStr">
        <is>
          <t>VARBERG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46258</v>
      </c>
      <c r="F106" t="inlineStr">
        <is>
          <t>HALLANDS LÄN</t>
        </is>
      </c>
      <c r="G106" t="inlineStr">
        <is>
          <t>VARBERG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45392</v>
      </c>
      <c r="E107" s="1" t="n">
        <v>46258</v>
      </c>
      <c r="F107" t="inlineStr">
        <is>
          <t>HALLANDS LÄN</t>
        </is>
      </c>
      <c r="G107" t="inlineStr">
        <is>
          <t>VARBERG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46258</v>
      </c>
      <c r="F108" t="inlineStr">
        <is>
          <t>HALLANDS LÄN</t>
        </is>
      </c>
      <c r="G108" t="inlineStr">
        <is>
          <t>VARBERG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46258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44837</v>
      </c>
      <c r="E110" s="1" t="n">
        <v>46258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46258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46258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46258</v>
      </c>
      <c r="F113" t="inlineStr">
        <is>
          <t>HALLANDS LÄN</t>
        </is>
      </c>
      <c r="G113" t="inlineStr">
        <is>
          <t>VARBERG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46258</v>
      </c>
      <c r="F114" t="inlineStr">
        <is>
          <t>HALLANDS LÄN</t>
        </is>
      </c>
      <c r="G114" t="inlineStr">
        <is>
          <t>VARBERG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46258</v>
      </c>
      <c r="F115" t="inlineStr">
        <is>
          <t>HALLANDS LÄN</t>
        </is>
      </c>
      <c r="G115" t="inlineStr">
        <is>
          <t>VARBERG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46258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45436</v>
      </c>
      <c r="E117" s="1" t="n">
        <v>46258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46258</v>
      </c>
      <c r="F118" t="inlineStr">
        <is>
          <t>HALLANDS LÄN</t>
        </is>
      </c>
      <c r="G118" t="inlineStr">
        <is>
          <t>VARBERG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46258</v>
      </c>
      <c r="F119" t="inlineStr">
        <is>
          <t>HALLANDS LÄN</t>
        </is>
      </c>
      <c r="G119" t="inlineStr">
        <is>
          <t>VARBERG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46258</v>
      </c>
      <c r="F120" t="inlineStr">
        <is>
          <t>HALLANDS LÄN</t>
        </is>
      </c>
      <c r="G120" t="inlineStr">
        <is>
          <t>VARBERG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46258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46258</v>
      </c>
      <c r="F122" t="inlineStr">
        <is>
          <t>HALLANDS LÄN</t>
        </is>
      </c>
      <c r="G122" t="inlineStr">
        <is>
          <t>VARBERG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46258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46258</v>
      </c>
      <c r="F124" t="inlineStr">
        <is>
          <t>HALLANDS LÄN</t>
        </is>
      </c>
      <c r="G124" t="inlineStr">
        <is>
          <t>VARBERG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45589</v>
      </c>
      <c r="E125" s="1" t="n">
        <v>46258</v>
      </c>
      <c r="F125" t="inlineStr">
        <is>
          <t>HALLANDS LÄN</t>
        </is>
      </c>
      <c r="G125" t="inlineStr">
        <is>
          <t>VARBERG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46258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46258</v>
      </c>
      <c r="F127" t="inlineStr">
        <is>
          <t>HALLANDS LÄN</t>
        </is>
      </c>
      <c r="G127" t="inlineStr">
        <is>
          <t>VARBERG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46258</v>
      </c>
      <c r="F128" t="inlineStr">
        <is>
          <t>HALLANDS LÄN</t>
        </is>
      </c>
      <c r="G128" t="inlineStr">
        <is>
          <t>VARBERG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46258</v>
      </c>
      <c r="F129" t="inlineStr">
        <is>
          <t>HALLANDS LÄN</t>
        </is>
      </c>
      <c r="G129" t="inlineStr">
        <is>
          <t>VARBERG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46258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46258</v>
      </c>
      <c r="F131" t="inlineStr">
        <is>
          <t>HALLANDS LÄN</t>
        </is>
      </c>
      <c r="G131" t="inlineStr">
        <is>
          <t>VARBERG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46258</v>
      </c>
      <c r="F132" t="inlineStr">
        <is>
          <t>HALLANDS LÄN</t>
        </is>
      </c>
      <c r="G132" t="inlineStr">
        <is>
          <t>VARBERG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46258</v>
      </c>
      <c r="F133" t="inlineStr">
        <is>
          <t>HALLANDS LÄN</t>
        </is>
      </c>
      <c r="G133" t="inlineStr">
        <is>
          <t>VARBERG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45313</v>
      </c>
      <c r="E134" s="1" t="n">
        <v>46258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46258</v>
      </c>
      <c r="F135" t="inlineStr">
        <is>
          <t>HALLANDS LÄN</t>
        </is>
      </c>
      <c r="G135" t="inlineStr">
        <is>
          <t>VARBERG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46258</v>
      </c>
      <c r="F136" t="inlineStr">
        <is>
          <t>HALLANDS LÄN</t>
        </is>
      </c>
      <c r="G136" t="inlineStr">
        <is>
          <t>VARBERG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46258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45328</v>
      </c>
      <c r="E138" s="1" t="n">
        <v>46258</v>
      </c>
      <c r="F138" t="inlineStr">
        <is>
          <t>HALLANDS LÄN</t>
        </is>
      </c>
      <c r="G138" t="inlineStr">
        <is>
          <t>VARBERG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46258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46258</v>
      </c>
      <c r="F140" t="inlineStr">
        <is>
          <t>HALLANDS LÄN</t>
        </is>
      </c>
      <c r="G140" t="inlineStr">
        <is>
          <t>VARBERG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46258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45609</v>
      </c>
      <c r="E142" s="1" t="n">
        <v>46258</v>
      </c>
      <c r="F142" t="inlineStr">
        <is>
          <t>HALLANDS LÄN</t>
        </is>
      </c>
      <c r="G142" t="inlineStr">
        <is>
          <t>VARBERG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46258</v>
      </c>
      <c r="F143" t="inlineStr">
        <is>
          <t>HALLANDS LÄN</t>
        </is>
      </c>
      <c r="G143" t="inlineStr">
        <is>
          <t>VARBERG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46258</v>
      </c>
      <c r="F144" t="inlineStr">
        <is>
          <t>HALLANDS LÄN</t>
        </is>
      </c>
      <c r="G144" t="inlineStr">
        <is>
          <t>VARBERG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46258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46258</v>
      </c>
      <c r="F146" t="inlineStr">
        <is>
          <t>HALLANDS LÄN</t>
        </is>
      </c>
      <c r="G146" t="inlineStr">
        <is>
          <t>VARBERG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45300</v>
      </c>
      <c r="E147" s="1" t="n">
        <v>46258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46258</v>
      </c>
      <c r="F148" t="inlineStr">
        <is>
          <t>HALLANDS LÄN</t>
        </is>
      </c>
      <c r="G148" t="inlineStr">
        <is>
          <t>VARBERG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46258</v>
      </c>
      <c r="F149" t="inlineStr">
        <is>
          <t>HALLANDS LÄN</t>
        </is>
      </c>
      <c r="G149" t="inlineStr">
        <is>
          <t>VARBERG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46258</v>
      </c>
      <c r="F150" t="inlineStr">
        <is>
          <t>HALLANDS LÄN</t>
        </is>
      </c>
      <c r="G150" t="inlineStr">
        <is>
          <t>VARBERG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46258</v>
      </c>
      <c r="F151" t="inlineStr">
        <is>
          <t>HALLANDS LÄN</t>
        </is>
      </c>
      <c r="G151" t="inlineStr">
        <is>
          <t>VARBERG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46258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46258</v>
      </c>
      <c r="F153" t="inlineStr">
        <is>
          <t>HALLANDS LÄN</t>
        </is>
      </c>
      <c r="G153" t="inlineStr">
        <is>
          <t>VARBERG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46258</v>
      </c>
      <c r="F154" t="inlineStr">
        <is>
          <t>HALLANDS LÄN</t>
        </is>
      </c>
      <c r="G154" t="inlineStr">
        <is>
          <t>VARBERG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46258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44447</v>
      </c>
      <c r="E156" s="1" t="n">
        <v>46258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46258</v>
      </c>
      <c r="F157" t="inlineStr">
        <is>
          <t>HALLANDS LÄN</t>
        </is>
      </c>
      <c r="G157" t="inlineStr">
        <is>
          <t>VARBERG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46258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45224</v>
      </c>
      <c r="E159" s="1" t="n">
        <v>46258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46258</v>
      </c>
      <c r="F160" t="inlineStr">
        <is>
          <t>HALLANDS LÄN</t>
        </is>
      </c>
      <c r="G160" t="inlineStr">
        <is>
          <t>VARBERG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46258</v>
      </c>
      <c r="F161" t="inlineStr">
        <is>
          <t>HALLANDS LÄN</t>
        </is>
      </c>
      <c r="G161" t="inlineStr">
        <is>
          <t>VARBERG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46258</v>
      </c>
      <c r="F162" t="inlineStr">
        <is>
          <t>HALLANDS LÄN</t>
        </is>
      </c>
      <c r="G162" t="inlineStr">
        <is>
          <t>VARBERG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46258</v>
      </c>
      <c r="F163" t="inlineStr">
        <is>
          <t>HALLANDS LÄN</t>
        </is>
      </c>
      <c r="G163" t="inlineStr">
        <is>
          <t>VARBERG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45672</v>
      </c>
      <c r="E164" s="1" t="n">
        <v>46258</v>
      </c>
      <c r="F164" t="inlineStr">
        <is>
          <t>HALLANDS LÄN</t>
        </is>
      </c>
      <c r="G164" t="inlineStr">
        <is>
          <t>VARBERG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46258</v>
      </c>
      <c r="F165" t="inlineStr">
        <is>
          <t>HALLANDS LÄN</t>
        </is>
      </c>
      <c r="G165" t="inlineStr">
        <is>
          <t>VARBERG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46258</v>
      </c>
      <c r="F166" t="inlineStr">
        <is>
          <t>HALLANDS LÄN</t>
        </is>
      </c>
      <c r="G166" t="inlineStr">
        <is>
          <t>VARBERG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46258</v>
      </c>
      <c r="F167" t="inlineStr">
        <is>
          <t>HALLANDS LÄN</t>
        </is>
      </c>
      <c r="G167" t="inlineStr">
        <is>
          <t>VARBERG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46258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46258</v>
      </c>
      <c r="F169" t="inlineStr">
        <is>
          <t>HALLANDS LÄN</t>
        </is>
      </c>
      <c r="G169" t="inlineStr">
        <is>
          <t>VARBERG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61075-2023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45261</v>
      </c>
      <c r="E170" s="1" t="n">
        <v>46258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9819-2022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44620</v>
      </c>
      <c r="E171" s="1" t="n">
        <v>46258</v>
      </c>
      <c r="F171" t="inlineStr">
        <is>
          <t>HALLANDS LÄN</t>
        </is>
      </c>
      <c r="G171" t="inlineStr">
        <is>
          <t>VARBERG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46258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45336</v>
      </c>
      <c r="E173" s="1" t="n">
        <v>46258</v>
      </c>
      <c r="F173" t="inlineStr">
        <is>
          <t>HALLANDS LÄN</t>
        </is>
      </c>
      <c r="G173" t="inlineStr">
        <is>
          <t>VARBERG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46258</v>
      </c>
      <c r="F174" t="inlineStr">
        <is>
          <t>HALLANDS LÄN</t>
        </is>
      </c>
      <c r="G174" t="inlineStr">
        <is>
          <t>VARBERG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46258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45455</v>
      </c>
      <c r="E176" s="1" t="n">
        <v>46258</v>
      </c>
      <c r="F176" t="inlineStr">
        <is>
          <t>HALLANDS LÄN</t>
        </is>
      </c>
      <c r="G176" t="inlineStr">
        <is>
          <t>VARBERG</t>
        </is>
      </c>
      <c r="H176" t="inlineStr">
        <is>
          <t>Kyrkan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46258</v>
      </c>
      <c r="F177" t="inlineStr">
        <is>
          <t>HALLANDS LÄN</t>
        </is>
      </c>
      <c r="G177" t="inlineStr">
        <is>
          <t>VARBERG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46258</v>
      </c>
      <c r="F178" t="inlineStr">
        <is>
          <t>HALLANDS LÄN</t>
        </is>
      </c>
      <c r="G178" t="inlineStr">
        <is>
          <t>VARBERG</t>
        </is>
      </c>
      <c r="H178" t="inlineStr">
        <is>
          <t>Kyrkan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46258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44875</v>
      </c>
      <c r="E180" s="1" t="n">
        <v>46258</v>
      </c>
      <c r="F180" t="inlineStr">
        <is>
          <t>HALLANDS LÄN</t>
        </is>
      </c>
      <c r="G180" t="inlineStr">
        <is>
          <t>VARBERG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46258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46258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46258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46258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46258</v>
      </c>
      <c r="F185" t="inlineStr">
        <is>
          <t>HALLANDS LÄN</t>
        </is>
      </c>
      <c r="G185" t="inlineStr">
        <is>
          <t>VARBERG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46258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44649</v>
      </c>
      <c r="E187" s="1" t="n">
        <v>46258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46258</v>
      </c>
      <c r="F188" t="inlineStr">
        <is>
          <t>HALLANDS LÄN</t>
        </is>
      </c>
      <c r="G188" t="inlineStr">
        <is>
          <t>VARBERG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46258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46258</v>
      </c>
      <c r="F190" t="inlineStr">
        <is>
          <t>HALLANDS LÄN</t>
        </is>
      </c>
      <c r="G190" t="inlineStr">
        <is>
          <t>VARBERG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46258</v>
      </c>
      <c r="F191" t="inlineStr">
        <is>
          <t>HALLANDS LÄN</t>
        </is>
      </c>
      <c r="G191" t="inlineStr">
        <is>
          <t>VARBERG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46258</v>
      </c>
      <c r="F192" t="inlineStr">
        <is>
          <t>HALLANDS LÄN</t>
        </is>
      </c>
      <c r="G192" t="inlineStr">
        <is>
          <t>VARBERG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46258</v>
      </c>
      <c r="F193" t="inlineStr">
        <is>
          <t>HALLANDS LÄN</t>
        </is>
      </c>
      <c r="G193" t="inlineStr">
        <is>
          <t>VARBERG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46258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46258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46258</v>
      </c>
      <c r="F196" t="inlineStr">
        <is>
          <t>HALLANDS LÄN</t>
        </is>
      </c>
      <c r="G196" t="inlineStr">
        <is>
          <t>VARBERG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46258</v>
      </c>
      <c r="F197" t="inlineStr">
        <is>
          <t>HALLANDS LÄN</t>
        </is>
      </c>
      <c r="G197" t="inlineStr">
        <is>
          <t>VARBERG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46258</v>
      </c>
      <c r="F198" t="inlineStr">
        <is>
          <t>HALLANDS LÄN</t>
        </is>
      </c>
      <c r="G198" t="inlineStr">
        <is>
          <t>VARBERG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45487</v>
      </c>
      <c r="E199" s="1" t="n">
        <v>46258</v>
      </c>
      <c r="F199" t="inlineStr">
        <is>
          <t>HALLANDS LÄN</t>
        </is>
      </c>
      <c r="G199" t="inlineStr">
        <is>
          <t>VARBERG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46258</v>
      </c>
      <c r="F200" t="inlineStr">
        <is>
          <t>HALLANDS LÄN</t>
        </is>
      </c>
      <c r="G200" t="inlineStr">
        <is>
          <t>VARBERG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45717</v>
      </c>
      <c r="E201" s="1" t="n">
        <v>46258</v>
      </c>
      <c r="F201" t="inlineStr">
        <is>
          <t>HALLANDS LÄN</t>
        </is>
      </c>
      <c r="G201" t="inlineStr">
        <is>
          <t>VARBERG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46258</v>
      </c>
      <c r="F202" t="inlineStr">
        <is>
          <t>HALLANDS LÄN</t>
        </is>
      </c>
      <c r="G202" t="inlineStr">
        <is>
          <t>VARBERG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46258</v>
      </c>
      <c r="F203" t="inlineStr">
        <is>
          <t>HALLANDS LÄN</t>
        </is>
      </c>
      <c r="G203" t="inlineStr">
        <is>
          <t>VARBERG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45302</v>
      </c>
      <c r="E204" s="1" t="n">
        <v>46258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46258</v>
      </c>
      <c r="F205" t="inlineStr">
        <is>
          <t>HALLANDS LÄN</t>
        </is>
      </c>
      <c r="G205" t="inlineStr">
        <is>
          <t>VARBERG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46258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46258</v>
      </c>
      <c r="F207" t="inlineStr">
        <is>
          <t>HALLANDS LÄN</t>
        </is>
      </c>
      <c r="G207" t="inlineStr">
        <is>
          <t>VARBERG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46258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45849</v>
      </c>
      <c r="E209" s="1" t="n">
        <v>46258</v>
      </c>
      <c r="F209" t="inlineStr">
        <is>
          <t>HALLANDS LÄN</t>
        </is>
      </c>
      <c r="G209" t="inlineStr">
        <is>
          <t>VARBERG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46258</v>
      </c>
      <c r="F210" t="inlineStr">
        <is>
          <t>HALLANDS LÄN</t>
        </is>
      </c>
      <c r="G210" t="inlineStr">
        <is>
          <t>VARBERG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46258</v>
      </c>
      <c r="F211" t="inlineStr">
        <is>
          <t>HALLANDS LÄN</t>
        </is>
      </c>
      <c r="G211" t="inlineStr">
        <is>
          <t>VARBERG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46258</v>
      </c>
      <c r="F212" t="inlineStr">
        <is>
          <t>HALLANDS LÄN</t>
        </is>
      </c>
      <c r="G212" t="inlineStr">
        <is>
          <t>VARBERG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46258</v>
      </c>
      <c r="F213" t="inlineStr">
        <is>
          <t>HALLANDS LÄN</t>
        </is>
      </c>
      <c r="G213" t="inlineStr">
        <is>
          <t>VARBERG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46258</v>
      </c>
      <c r="F214" t="inlineStr">
        <is>
          <t>HALLANDS LÄN</t>
        </is>
      </c>
      <c r="G214" t="inlineStr">
        <is>
          <t>VARBERG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46258</v>
      </c>
      <c r="F215" t="inlineStr">
        <is>
          <t>HALLANDS LÄN</t>
        </is>
      </c>
      <c r="G215" t="inlineStr">
        <is>
          <t>VARBERG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46258</v>
      </c>
      <c r="F216" t="inlineStr">
        <is>
          <t>HALLANDS LÄN</t>
        </is>
      </c>
      <c r="G216" t="inlineStr">
        <is>
          <t>VARBERG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46258</v>
      </c>
      <c r="F217" t="inlineStr">
        <is>
          <t>HALLANDS LÄN</t>
        </is>
      </c>
      <c r="G217" t="inlineStr">
        <is>
          <t>VARBERG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46258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46258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46258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46258</v>
      </c>
      <c r="F221" t="inlineStr">
        <is>
          <t>HALLANDS LÄN</t>
        </is>
      </c>
      <c r="G221" t="inlineStr">
        <is>
          <t>VARBERG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44644</v>
      </c>
      <c r="E222" s="1" t="n">
        <v>46258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46258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46258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44649</v>
      </c>
      <c r="E225" s="1" t="n">
        <v>46258</v>
      </c>
      <c r="F225" t="inlineStr">
        <is>
          <t>HALLANDS LÄN</t>
        </is>
      </c>
      <c r="G225" t="inlineStr">
        <is>
          <t>VARBERG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46258</v>
      </c>
      <c r="F226" t="inlineStr">
        <is>
          <t>HALLANDS LÄN</t>
        </is>
      </c>
      <c r="G226" t="inlineStr">
        <is>
          <t>VARBERG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46258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46258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46258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45852</v>
      </c>
      <c r="E230" s="1" t="n">
        <v>46258</v>
      </c>
      <c r="F230" t="inlineStr">
        <is>
          <t>HALLANDS LÄN</t>
        </is>
      </c>
      <c r="G230" t="inlineStr">
        <is>
          <t>VARBERG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46258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45852</v>
      </c>
      <c r="E232" s="1" t="n">
        <v>46258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45323</v>
      </c>
      <c r="E233" s="1" t="n">
        <v>46258</v>
      </c>
      <c r="F233" t="inlineStr">
        <is>
          <t>HALLANDS LÄN</t>
        </is>
      </c>
      <c r="G233" t="inlineStr">
        <is>
          <t>VARBERG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46258</v>
      </c>
      <c r="F234" t="inlineStr">
        <is>
          <t>HALLANDS LÄN</t>
        </is>
      </c>
      <c r="G234" t="inlineStr">
        <is>
          <t>VARBERG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46258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46258</v>
      </c>
      <c r="F236" t="inlineStr">
        <is>
          <t>HALLANDS LÄN</t>
        </is>
      </c>
      <c r="G236" t="inlineStr">
        <is>
          <t>VARBERG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44628</v>
      </c>
      <c r="E237" s="1" t="n">
        <v>46258</v>
      </c>
      <c r="F237" t="inlineStr">
        <is>
          <t>HALLANDS LÄN</t>
        </is>
      </c>
      <c r="G237" t="inlineStr">
        <is>
          <t>VARBERG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46258</v>
      </c>
      <c r="F238" t="inlineStr">
        <is>
          <t>HALLANDS LÄN</t>
        </is>
      </c>
      <c r="G238" t="inlineStr">
        <is>
          <t>VARBERG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46258</v>
      </c>
      <c r="F239" t="inlineStr">
        <is>
          <t>HALLANDS LÄN</t>
        </is>
      </c>
      <c r="G239" t="inlineStr">
        <is>
          <t>VARBERG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46258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71841-2021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44543</v>
      </c>
      <c r="E241" s="1" t="n">
        <v>46258</v>
      </c>
      <c r="F241" t="inlineStr">
        <is>
          <t>HALLANDS LÄN</t>
        </is>
      </c>
      <c r="G241" t="inlineStr">
        <is>
          <t>VARBERG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46258</v>
      </c>
      <c r="F242" t="inlineStr">
        <is>
          <t>HALLANDS LÄN</t>
        </is>
      </c>
      <c r="G242" t="inlineStr">
        <is>
          <t>VARBERG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46258</v>
      </c>
      <c r="F243" t="inlineStr">
        <is>
          <t>HALLANDS LÄN</t>
        </is>
      </c>
      <c r="G243" t="inlineStr">
        <is>
          <t>VARBERG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46258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46258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46258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46258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44657</v>
      </c>
      <c r="E248" s="1" t="n">
        <v>46258</v>
      </c>
      <c r="F248" t="inlineStr">
        <is>
          <t>HALLANDS LÄN</t>
        </is>
      </c>
      <c r="G248" t="inlineStr">
        <is>
          <t>VARBERG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46258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46258</v>
      </c>
      <c r="F250" t="inlineStr">
        <is>
          <t>HALLANDS LÄN</t>
        </is>
      </c>
      <c r="G250" t="inlineStr">
        <is>
          <t>VARBERG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46258</v>
      </c>
      <c r="F251" t="inlineStr">
        <is>
          <t>HALLANDS LÄN</t>
        </is>
      </c>
      <c r="G251" t="inlineStr">
        <is>
          <t>VARBERG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46258</v>
      </c>
      <c r="F252" t="inlineStr">
        <is>
          <t>HALLANDS LÄN</t>
        </is>
      </c>
      <c r="G252" t="inlineStr">
        <is>
          <t>VARBERG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46258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46258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46258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46258</v>
      </c>
      <c r="F256" t="inlineStr">
        <is>
          <t>HALLANDS LÄN</t>
        </is>
      </c>
      <c r="G256" t="inlineStr">
        <is>
          <t>VARBERG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46258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46258</v>
      </c>
      <c r="F258" t="inlineStr">
        <is>
          <t>HALLANDS LÄN</t>
        </is>
      </c>
      <c r="G258" t="inlineStr">
        <is>
          <t>VARBERG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44470</v>
      </c>
      <c r="E259" s="1" t="n">
        <v>46258</v>
      </c>
      <c r="F259" t="inlineStr">
        <is>
          <t>HALLANDS LÄN</t>
        </is>
      </c>
      <c r="G259" t="inlineStr">
        <is>
          <t>VARBERG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46258</v>
      </c>
      <c r="F260" t="inlineStr">
        <is>
          <t>HALLANDS LÄN</t>
        </is>
      </c>
      <c r="G260" t="inlineStr">
        <is>
          <t>VARBERG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44574</v>
      </c>
      <c r="E261" s="1" t="n">
        <v>46258</v>
      </c>
      <c r="F261" t="inlineStr">
        <is>
          <t>HALLANDS LÄN</t>
        </is>
      </c>
      <c r="G261" t="inlineStr">
        <is>
          <t>VARBERG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45007</v>
      </c>
      <c r="E262" s="1" t="n">
        <v>46258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46258</v>
      </c>
      <c r="F263" t="inlineStr">
        <is>
          <t>HALLANDS LÄN</t>
        </is>
      </c>
      <c r="G263" t="inlineStr">
        <is>
          <t>VARBERG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46258</v>
      </c>
      <c r="F264" t="inlineStr">
        <is>
          <t>HALLANDS LÄN</t>
        </is>
      </c>
      <c r="G264" t="inlineStr">
        <is>
          <t>VARBERG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8263-2023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44974</v>
      </c>
      <c r="E265" s="1" t="n">
        <v>46258</v>
      </c>
      <c r="F265" t="inlineStr">
        <is>
          <t>HALLANDS LÄN</t>
        </is>
      </c>
      <c r="G265" t="inlineStr">
        <is>
          <t>VARBERG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45736</v>
      </c>
      <c r="E266" s="1" t="n">
        <v>46258</v>
      </c>
      <c r="F266" t="inlineStr">
        <is>
          <t>HALLANDS LÄN</t>
        </is>
      </c>
      <c r="G266" t="inlineStr">
        <is>
          <t>VARBERG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46258</v>
      </c>
      <c r="F267" t="inlineStr">
        <is>
          <t>HALLANDS LÄN</t>
        </is>
      </c>
      <c r="G267" t="inlineStr">
        <is>
          <t>VARBERG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10229-2023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44980</v>
      </c>
      <c r="E268" s="1" t="n">
        <v>46258</v>
      </c>
      <c r="F268" t="inlineStr">
        <is>
          <t>HALLANDS LÄN</t>
        </is>
      </c>
      <c r="G268" t="inlineStr">
        <is>
          <t>VARBERG</t>
        </is>
      </c>
      <c r="H268" t="inlineStr">
        <is>
          <t>Övriga statliga verk och myndigheter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46258</v>
      </c>
      <c r="F269" t="inlineStr">
        <is>
          <t>HALLANDS LÄN</t>
        </is>
      </c>
      <c r="G269" t="inlineStr">
        <is>
          <t>VARBERG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46258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46258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46258</v>
      </c>
      <c r="F272" t="inlineStr">
        <is>
          <t>HALLANDS LÄN</t>
        </is>
      </c>
      <c r="G272" t="inlineStr">
        <is>
          <t>VARBERG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46258</v>
      </c>
      <c r="F273" t="inlineStr">
        <is>
          <t>HALLANDS LÄN</t>
        </is>
      </c>
      <c r="G273" t="inlineStr">
        <is>
          <t>VARBERG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46258</v>
      </c>
      <c r="F274" t="inlineStr">
        <is>
          <t>HALLANDS LÄN</t>
        </is>
      </c>
      <c r="G274" t="inlineStr">
        <is>
          <t>VARBERG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44649</v>
      </c>
      <c r="E275" s="1" t="n">
        <v>46258</v>
      </c>
      <c r="F275" t="inlineStr">
        <is>
          <t>HALLANDS LÄN</t>
        </is>
      </c>
      <c r="G275" t="inlineStr">
        <is>
          <t>VARBERG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46258</v>
      </c>
      <c r="F276" t="inlineStr">
        <is>
          <t>HALLANDS LÄN</t>
        </is>
      </c>
      <c r="G276" t="inlineStr">
        <is>
          <t>VARBERG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46258</v>
      </c>
      <c r="F277" t="inlineStr">
        <is>
          <t>HALLANDS LÄN</t>
        </is>
      </c>
      <c r="G277" t="inlineStr">
        <is>
          <t>VARBERG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46258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44659</v>
      </c>
      <c r="E279" s="1" t="n">
        <v>46258</v>
      </c>
      <c r="F279" t="inlineStr">
        <is>
          <t>HALLANDS LÄN</t>
        </is>
      </c>
      <c r="G279" t="inlineStr">
        <is>
          <t>VARBERG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46258</v>
      </c>
      <c r="F280" t="inlineStr">
        <is>
          <t>HALLANDS LÄN</t>
        </is>
      </c>
      <c r="G280" t="inlineStr">
        <is>
          <t>VARBERG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46258</v>
      </c>
      <c r="F281" t="inlineStr">
        <is>
          <t>HALLANDS LÄN</t>
        </is>
      </c>
      <c r="G281" t="inlineStr">
        <is>
          <t>VARBERG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64767-2023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45281</v>
      </c>
      <c r="E282" s="1" t="n">
        <v>46258</v>
      </c>
      <c r="F282" t="inlineStr">
        <is>
          <t>HALLANDS LÄN</t>
        </is>
      </c>
      <c r="G282" t="inlineStr">
        <is>
          <t>VARBERG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46258</v>
      </c>
      <c r="F283" t="inlineStr">
        <is>
          <t>HALLANDS LÄN</t>
        </is>
      </c>
      <c r="G283" t="inlineStr">
        <is>
          <t>VARBERG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45200</v>
      </c>
      <c r="E284" s="1" t="n">
        <v>46258</v>
      </c>
      <c r="F284" t="inlineStr">
        <is>
          <t>HALLANDS LÄN</t>
        </is>
      </c>
      <c r="G284" t="inlineStr">
        <is>
          <t>VARBERG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46771-2022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44851</v>
      </c>
      <c r="E285" s="1" t="n">
        <v>46258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44829</v>
      </c>
      <c r="E286" s="1" t="n">
        <v>46258</v>
      </c>
      <c r="F286" t="inlineStr">
        <is>
          <t>HALLANDS LÄN</t>
        </is>
      </c>
      <c r="G286" t="inlineStr">
        <is>
          <t>VARBERG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46258</v>
      </c>
      <c r="F287" t="inlineStr">
        <is>
          <t>HALLANDS LÄN</t>
        </is>
      </c>
      <c r="G287" t="inlineStr">
        <is>
          <t>VARBERG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44481</v>
      </c>
      <c r="E288" s="1" t="n">
        <v>46258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46258</v>
      </c>
      <c r="F289" t="inlineStr">
        <is>
          <t>HALLANDS LÄN</t>
        </is>
      </c>
      <c r="G289" t="inlineStr">
        <is>
          <t>VARBERG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46258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44545</v>
      </c>
      <c r="E291" s="1" t="n">
        <v>46258</v>
      </c>
      <c r="F291" t="inlineStr">
        <is>
          <t>HALLANDS LÄN</t>
        </is>
      </c>
      <c r="G291" t="inlineStr">
        <is>
          <t>VARBERG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46258</v>
      </c>
      <c r="F292" t="inlineStr">
        <is>
          <t>HALLANDS LÄN</t>
        </is>
      </c>
      <c r="G292" t="inlineStr">
        <is>
          <t>VARBERG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44767</v>
      </c>
      <c r="E293" s="1" t="n">
        <v>46258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46258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46258</v>
      </c>
      <c r="F295" t="inlineStr">
        <is>
          <t>HALLANDS LÄN</t>
        </is>
      </c>
      <c r="G295" t="inlineStr">
        <is>
          <t>VARBERG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44982</v>
      </c>
      <c r="E296" s="1" t="n">
        <v>46258</v>
      </c>
      <c r="F296" t="inlineStr">
        <is>
          <t>HALLANDS LÄN</t>
        </is>
      </c>
      <c r="G296" t="inlineStr">
        <is>
          <t>VARBERG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46258</v>
      </c>
      <c r="F297" t="inlineStr">
        <is>
          <t>HALLANDS LÄN</t>
        </is>
      </c>
      <c r="G297" t="inlineStr">
        <is>
          <t>VARBERG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46258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46258</v>
      </c>
      <c r="F299" t="inlineStr">
        <is>
          <t>HALLANDS LÄN</t>
        </is>
      </c>
      <c r="G299" t="inlineStr">
        <is>
          <t>VARBERG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46258</v>
      </c>
      <c r="F300" t="inlineStr">
        <is>
          <t>HALLANDS LÄN</t>
        </is>
      </c>
      <c r="G300" t="inlineStr">
        <is>
          <t>VARBERG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9614-2024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45361</v>
      </c>
      <c r="E301" s="1" t="n">
        <v>46258</v>
      </c>
      <c r="F301" t="inlineStr">
        <is>
          <t>HALLANDS LÄN</t>
        </is>
      </c>
      <c r="G301" t="inlineStr">
        <is>
          <t>VARBERG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45349</v>
      </c>
      <c r="E302" s="1" t="n">
        <v>46258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45313</v>
      </c>
      <c r="E303" s="1" t="n">
        <v>46258</v>
      </c>
      <c r="F303" t="inlineStr">
        <is>
          <t>HALLANDS LÄN</t>
        </is>
      </c>
      <c r="G303" t="inlineStr">
        <is>
          <t>VARBERG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46258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49760-2024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45597</v>
      </c>
      <c r="E305" s="1" t="n">
        <v>46258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46258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46258</v>
      </c>
      <c r="F307" t="inlineStr">
        <is>
          <t>HALLANDS LÄN</t>
        </is>
      </c>
      <c r="G307" t="inlineStr">
        <is>
          <t>VARBERG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42566-2022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44831</v>
      </c>
      <c r="E308" s="1" t="n">
        <v>46258</v>
      </c>
      <c r="F308" t="inlineStr">
        <is>
          <t>HALLANDS LÄN</t>
        </is>
      </c>
      <c r="G308" t="inlineStr">
        <is>
          <t>VARBERG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46258</v>
      </c>
      <c r="F309" t="inlineStr">
        <is>
          <t>HALLANDS LÄN</t>
        </is>
      </c>
      <c r="G309" t="inlineStr">
        <is>
          <t>VARBERG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46258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46258</v>
      </c>
      <c r="F311" t="inlineStr">
        <is>
          <t>HALLANDS LÄN</t>
        </is>
      </c>
      <c r="G311" t="inlineStr">
        <is>
          <t>VARBERG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46258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46258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46258</v>
      </c>
      <c r="F314" t="inlineStr">
        <is>
          <t>HALLANDS LÄN</t>
        </is>
      </c>
      <c r="G314" t="inlineStr">
        <is>
          <t>VARBERG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46047</v>
      </c>
      <c r="E315" s="1" t="n">
        <v>46258</v>
      </c>
      <c r="F315" t="inlineStr">
        <is>
          <t>HALLANDS LÄN</t>
        </is>
      </c>
      <c r="G315" t="inlineStr">
        <is>
          <t>VARBERG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46258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46047</v>
      </c>
      <c r="E317" s="1" t="n">
        <v>46258</v>
      </c>
      <c r="F317" t="inlineStr">
        <is>
          <t>HALLANDS LÄN</t>
        </is>
      </c>
      <c r="G317" t="inlineStr">
        <is>
          <t>VARBERG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46258</v>
      </c>
      <c r="F318" t="inlineStr">
        <is>
          <t>HALLANDS LÄN</t>
        </is>
      </c>
      <c r="G318" t="inlineStr">
        <is>
          <t>VARBERG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46258</v>
      </c>
      <c r="F319" t="inlineStr">
        <is>
          <t>HALLANDS LÄN</t>
        </is>
      </c>
      <c r="G319" t="inlineStr">
        <is>
          <t>VARBERG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45369</v>
      </c>
      <c r="E320" s="1" t="n">
        <v>46258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46258</v>
      </c>
      <c r="F321" t="inlineStr">
        <is>
          <t>HALLANDS LÄN</t>
        </is>
      </c>
      <c r="G321" t="inlineStr">
        <is>
          <t>VARBERG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46258</v>
      </c>
      <c r="F322" t="inlineStr">
        <is>
          <t>HALLANDS LÄN</t>
        </is>
      </c>
      <c r="G322" t="inlineStr">
        <is>
          <t>VARBERG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45590</v>
      </c>
      <c r="E323" s="1" t="n">
        <v>46258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46258</v>
      </c>
      <c r="F324" t="inlineStr">
        <is>
          <t>HALLANDS LÄN</t>
        </is>
      </c>
      <c r="G324" t="inlineStr">
        <is>
          <t>VARBERG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46258</v>
      </c>
      <c r="F325" t="inlineStr">
        <is>
          <t>HALLANDS LÄN</t>
        </is>
      </c>
      <c r="G325" t="inlineStr">
        <is>
          <t>VARBERG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46258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46258</v>
      </c>
      <c r="F327" t="inlineStr">
        <is>
          <t>HALLANDS LÄN</t>
        </is>
      </c>
      <c r="G327" t="inlineStr">
        <is>
          <t>VARBERG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45877</v>
      </c>
      <c r="E328" s="1" t="n">
        <v>46258</v>
      </c>
      <c r="F328" t="inlineStr">
        <is>
          <t>HALLANDS LÄN</t>
        </is>
      </c>
      <c r="G328" t="inlineStr">
        <is>
          <t>VARBERG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45224</v>
      </c>
      <c r="E329" s="1" t="n">
        <v>46258</v>
      </c>
      <c r="F329" t="inlineStr">
        <is>
          <t>HALLANDS LÄN</t>
        </is>
      </c>
      <c r="G329" t="inlineStr">
        <is>
          <t>VARBERG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45155</v>
      </c>
      <c r="E330" s="1" t="n">
        <v>46258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46258</v>
      </c>
      <c r="F331" t="inlineStr">
        <is>
          <t>HALLANDS LÄN</t>
        </is>
      </c>
      <c r="G331" t="inlineStr">
        <is>
          <t>VARBERG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46258</v>
      </c>
      <c r="F332" t="inlineStr">
        <is>
          <t>HALLANDS LÄN</t>
        </is>
      </c>
      <c r="G332" t="inlineStr">
        <is>
          <t>VARBERG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46258</v>
      </c>
      <c r="F333" t="inlineStr">
        <is>
          <t>HALLANDS LÄN</t>
        </is>
      </c>
      <c r="G333" t="inlineStr">
        <is>
          <t>VARBERG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46258</v>
      </c>
      <c r="F334" t="inlineStr">
        <is>
          <t>HALLANDS LÄN</t>
        </is>
      </c>
      <c r="G334" t="inlineStr">
        <is>
          <t>VARBERG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46258</v>
      </c>
      <c r="F335" t="inlineStr">
        <is>
          <t>HALLANDS LÄN</t>
        </is>
      </c>
      <c r="G335" t="inlineStr">
        <is>
          <t>VARBERG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46258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46258</v>
      </c>
      <c r="F337" t="inlineStr">
        <is>
          <t>HALLANDS LÄN</t>
        </is>
      </c>
      <c r="G337" t="inlineStr">
        <is>
          <t>VARBERG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46258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45974-2021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44441</v>
      </c>
      <c r="E339" s="1" t="n">
        <v>46258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45058</v>
      </c>
      <c r="E340" s="1" t="n">
        <v>46258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45434</v>
      </c>
      <c r="E341" s="1" t="n">
        <v>46258</v>
      </c>
      <c r="F341" t="inlineStr">
        <is>
          <t>HALLANDS LÄN</t>
        </is>
      </c>
      <c r="G341" t="inlineStr">
        <is>
          <t>VARBERG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45196</v>
      </c>
      <c r="E342" s="1" t="n">
        <v>46258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46258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46258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46258</v>
      </c>
      <c r="F345" t="inlineStr">
        <is>
          <t>HALLANDS LÄN</t>
        </is>
      </c>
      <c r="G345" t="inlineStr">
        <is>
          <t>VARBERG</t>
        </is>
      </c>
      <c r="H345" t="inlineStr">
        <is>
          <t>Övriga statliga verk och myndigheter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46258</v>
      </c>
      <c r="F346" t="inlineStr">
        <is>
          <t>HALLANDS LÄN</t>
        </is>
      </c>
      <c r="G346" t="inlineStr">
        <is>
          <t>VARBERG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46258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45772</v>
      </c>
      <c r="E348" s="1" t="n">
        <v>46258</v>
      </c>
      <c r="F348" t="inlineStr">
        <is>
          <t>HALLANDS LÄN</t>
        </is>
      </c>
      <c r="G348" t="inlineStr">
        <is>
          <t>VARBERG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46258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46258</v>
      </c>
      <c r="F350" t="inlineStr">
        <is>
          <t>HALLANDS LÄN</t>
        </is>
      </c>
      <c r="G350" t="inlineStr">
        <is>
          <t>VARBERG</t>
        </is>
      </c>
      <c r="I350" t="n">
        <v>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46258</v>
      </c>
      <c r="F351" t="inlineStr">
        <is>
          <t>HALLANDS LÄN</t>
        </is>
      </c>
      <c r="G351" t="inlineStr">
        <is>
          <t>VARBERG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46258</v>
      </c>
      <c r="F352" t="inlineStr">
        <is>
          <t>HALLANDS LÄN</t>
        </is>
      </c>
      <c r="G352" t="inlineStr">
        <is>
          <t>VARBERG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44770</v>
      </c>
      <c r="E353" s="1" t="n">
        <v>46258</v>
      </c>
      <c r="F353" t="inlineStr">
        <is>
          <t>HALLANDS LÄN</t>
        </is>
      </c>
      <c r="G353" t="inlineStr">
        <is>
          <t>VARBERG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46258</v>
      </c>
      <c r="F354" t="inlineStr">
        <is>
          <t>HALLANDS LÄN</t>
        </is>
      </c>
      <c r="G354" t="inlineStr">
        <is>
          <t>VARBERG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46258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45422</v>
      </c>
      <c r="E356" s="1" t="n">
        <v>46258</v>
      </c>
      <c r="F356" t="inlineStr">
        <is>
          <t>HALLANDS LÄN</t>
        </is>
      </c>
      <c r="G356" t="inlineStr">
        <is>
          <t>VARBERG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46258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46258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46258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44890</v>
      </c>
      <c r="E360" s="1" t="n">
        <v>46258</v>
      </c>
      <c r="F360" t="inlineStr">
        <is>
          <t>HALLANDS LÄN</t>
        </is>
      </c>
      <c r="G360" t="inlineStr">
        <is>
          <t>VARBERG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46258</v>
      </c>
      <c r="F361" t="inlineStr">
        <is>
          <t>HALLANDS LÄN</t>
        </is>
      </c>
      <c r="G361" t="inlineStr">
        <is>
          <t>VARBERG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46258</v>
      </c>
      <c r="F362" t="inlineStr">
        <is>
          <t>HALLANDS LÄN</t>
        </is>
      </c>
      <c r="G362" t="inlineStr">
        <is>
          <t>VARBERG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46258</v>
      </c>
      <c r="F363" t="inlineStr">
        <is>
          <t>HALLANDS LÄN</t>
        </is>
      </c>
      <c r="G363" t="inlineStr">
        <is>
          <t>VARBERG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46258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46258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46258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46258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46234</v>
      </c>
      <c r="E368" s="1" t="n">
        <v>46258</v>
      </c>
      <c r="F368" t="inlineStr">
        <is>
          <t>HALLANDS LÄN</t>
        </is>
      </c>
      <c r="G368" t="inlineStr">
        <is>
          <t>VARBERG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46258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46258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45567</v>
      </c>
      <c r="E371" s="1" t="n">
        <v>46258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45344</v>
      </c>
      <c r="E372" s="1" t="n">
        <v>46258</v>
      </c>
      <c r="F372" t="inlineStr">
        <is>
          <t>HALLANDS LÄN</t>
        </is>
      </c>
      <c r="G372" t="inlineStr">
        <is>
          <t>VARBERG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50199-2021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44457</v>
      </c>
      <c r="E373" s="1" t="n">
        <v>46258</v>
      </c>
      <c r="F373" t="inlineStr">
        <is>
          <t>HALLANDS LÄN</t>
        </is>
      </c>
      <c r="G373" t="inlineStr">
        <is>
          <t>VARBERG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46258</v>
      </c>
      <c r="F374" t="inlineStr">
        <is>
          <t>HALLANDS LÄN</t>
        </is>
      </c>
      <c r="G374" t="inlineStr">
        <is>
          <t>VARBERG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46258</v>
      </c>
      <c r="F375" t="inlineStr">
        <is>
          <t>HALLANDS LÄN</t>
        </is>
      </c>
      <c r="G375" t="inlineStr">
        <is>
          <t>VARBERG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46258</v>
      </c>
      <c r="F376" t="inlineStr">
        <is>
          <t>HALLANDS LÄN</t>
        </is>
      </c>
      <c r="G376" t="inlineStr">
        <is>
          <t>VARBERG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46258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46258</v>
      </c>
      <c r="F378" t="inlineStr">
        <is>
          <t>HALLANDS LÄN</t>
        </is>
      </c>
      <c r="G378" t="inlineStr">
        <is>
          <t>VARBERG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46258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45770</v>
      </c>
      <c r="E380" s="1" t="n">
        <v>46258</v>
      </c>
      <c r="F380" t="inlineStr">
        <is>
          <t>HALLANDS LÄN</t>
        </is>
      </c>
      <c r="G380" t="inlineStr">
        <is>
          <t>VARBERG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46258</v>
      </c>
      <c r="F381" t="inlineStr">
        <is>
          <t>HALLANDS LÄN</t>
        </is>
      </c>
      <c r="G381" t="inlineStr">
        <is>
          <t>VARBERG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46258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46258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45457</v>
      </c>
      <c r="E384" s="1" t="n">
        <v>46258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45744</v>
      </c>
      <c r="E385" s="1" t="n">
        <v>46258</v>
      </c>
      <c r="F385" t="inlineStr">
        <is>
          <t>HALLANDS LÄN</t>
        </is>
      </c>
      <c r="G385" t="inlineStr">
        <is>
          <t>VARBERG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46202</v>
      </c>
      <c r="E386" s="1" t="n">
        <v>46258</v>
      </c>
      <c r="F386" t="inlineStr">
        <is>
          <t>HALLANDS LÄN</t>
        </is>
      </c>
      <c r="G386" t="inlineStr">
        <is>
          <t>VARBERG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19130-2026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46132</v>
      </c>
      <c r="E387" s="1" t="n">
        <v>46258</v>
      </c>
      <c r="F387" t="inlineStr">
        <is>
          <t>HALLANDS LÄN</t>
        </is>
      </c>
      <c r="G387" t="inlineStr">
        <is>
          <t>VARBERG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46258</v>
      </c>
      <c r="F388" t="inlineStr">
        <is>
          <t>HALLANDS LÄN</t>
        </is>
      </c>
      <c r="G388" t="inlineStr">
        <is>
          <t>VARBERG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45487</v>
      </c>
      <c r="E389" s="1" t="n">
        <v>46258</v>
      </c>
      <c r="F389" t="inlineStr">
        <is>
          <t>HALLANDS LÄN</t>
        </is>
      </c>
      <c r="G389" t="inlineStr">
        <is>
          <t>VARBERG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44855</v>
      </c>
      <c r="E390" s="1" t="n">
        <v>46258</v>
      </c>
      <c r="F390" t="inlineStr">
        <is>
          <t>HALLANDS LÄN</t>
        </is>
      </c>
      <c r="G390" t="inlineStr">
        <is>
          <t>VARBERG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46258</v>
      </c>
      <c r="F391" t="inlineStr">
        <is>
          <t>HALLANDS LÄN</t>
        </is>
      </c>
      <c r="G391" t="inlineStr">
        <is>
          <t>VARBERG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46258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46258</v>
      </c>
      <c r="F393" t="inlineStr">
        <is>
          <t>HALLANDS LÄN</t>
        </is>
      </c>
      <c r="G393" t="inlineStr">
        <is>
          <t>VARBERG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46258</v>
      </c>
      <c r="F394" t="inlineStr">
        <is>
          <t>HALLANDS LÄN</t>
        </is>
      </c>
      <c r="G394" t="inlineStr">
        <is>
          <t>VARBERG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46258</v>
      </c>
      <c r="F395" t="inlineStr">
        <is>
          <t>HALLANDS LÄN</t>
        </is>
      </c>
      <c r="G395" t="inlineStr">
        <is>
          <t>VARBERG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46258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46258</v>
      </c>
      <c r="F397" t="inlineStr">
        <is>
          <t>HALLANDS LÄN</t>
        </is>
      </c>
      <c r="G397" t="inlineStr">
        <is>
          <t>VARBERG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46258</v>
      </c>
      <c r="F398" t="inlineStr">
        <is>
          <t>HALLANDS LÄN</t>
        </is>
      </c>
      <c r="G398" t="inlineStr">
        <is>
          <t>VARBERG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46258</v>
      </c>
      <c r="F399" t="inlineStr">
        <is>
          <t>HALLANDS LÄN</t>
        </is>
      </c>
      <c r="G399" t="inlineStr">
        <is>
          <t>VARBERG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46258</v>
      </c>
      <c r="F400" t="inlineStr">
        <is>
          <t>HALLANDS LÄN</t>
        </is>
      </c>
      <c r="G400" t="inlineStr">
        <is>
          <t>VARBERG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46258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46258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46258</v>
      </c>
      <c r="F403" t="inlineStr">
        <is>
          <t>HALLANDS LÄN</t>
        </is>
      </c>
      <c r="G403" t="inlineStr">
        <is>
          <t>VARBERG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46258</v>
      </c>
      <c r="F404" t="inlineStr">
        <is>
          <t>HALLANDS LÄN</t>
        </is>
      </c>
      <c r="G404" t="inlineStr">
        <is>
          <t>VARBERG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46258</v>
      </c>
      <c r="F405" t="inlineStr">
        <is>
          <t>HALLANDS LÄN</t>
        </is>
      </c>
      <c r="G405" t="inlineStr">
        <is>
          <t>VARBERG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46258</v>
      </c>
      <c r="F406" t="inlineStr">
        <is>
          <t>HALLANDS LÄN</t>
        </is>
      </c>
      <c r="G406" t="inlineStr">
        <is>
          <t>VARBERG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45932</v>
      </c>
      <c r="E407" s="1" t="n">
        <v>46258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44740-2023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45184</v>
      </c>
      <c r="E408" s="1" t="n">
        <v>46258</v>
      </c>
      <c r="F408" t="inlineStr">
        <is>
          <t>HALLANDS LÄN</t>
        </is>
      </c>
      <c r="G408" t="inlineStr">
        <is>
          <t>VARBERG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46258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46258</v>
      </c>
      <c r="F410" t="inlineStr">
        <is>
          <t>HALLANDS LÄN</t>
        </is>
      </c>
      <c r="G410" t="inlineStr">
        <is>
          <t>VARBERG</t>
        </is>
      </c>
      <c r="H410" t="inlineStr">
        <is>
          <t>Övriga statliga verk och myndigheter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45013</v>
      </c>
      <c r="E411" s="1" t="n">
        <v>46258</v>
      </c>
      <c r="F411" t="inlineStr">
        <is>
          <t>HALLANDS LÄN</t>
        </is>
      </c>
      <c r="G411" t="inlineStr">
        <is>
          <t>VARBERG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46258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45177</v>
      </c>
      <c r="E413" s="1" t="n">
        <v>46258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46258</v>
      </c>
      <c r="F414" t="inlineStr">
        <is>
          <t>HALLANDS LÄN</t>
        </is>
      </c>
      <c r="G414" t="inlineStr">
        <is>
          <t>VARBERG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46258</v>
      </c>
      <c r="F415" t="inlineStr">
        <is>
          <t>HALLANDS LÄN</t>
        </is>
      </c>
      <c r="G415" t="inlineStr">
        <is>
          <t>VARBERG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46258</v>
      </c>
      <c r="F416" t="inlineStr">
        <is>
          <t>HALLANDS LÄN</t>
        </is>
      </c>
      <c r="G416" t="inlineStr">
        <is>
          <t>VARBERG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46258</v>
      </c>
      <c r="F417" t="inlineStr">
        <is>
          <t>HALLANDS LÄN</t>
        </is>
      </c>
      <c r="G417" t="inlineStr">
        <is>
          <t>VARBERG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46258</v>
      </c>
      <c r="F418" t="inlineStr">
        <is>
          <t>HALLANDS LÄN</t>
        </is>
      </c>
      <c r="G418" t="inlineStr">
        <is>
          <t>VARBERG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46258</v>
      </c>
      <c r="F419" t="inlineStr">
        <is>
          <t>HALLANDS LÄN</t>
        </is>
      </c>
      <c r="G419" t="inlineStr">
        <is>
          <t>VARBERG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46258</v>
      </c>
      <c r="F420" t="inlineStr">
        <is>
          <t>HALLANDS LÄN</t>
        </is>
      </c>
      <c r="G420" t="inlineStr">
        <is>
          <t>VARBERG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45852</v>
      </c>
      <c r="E421" s="1" t="n">
        <v>46258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45722</v>
      </c>
      <c r="E422" s="1" t="n">
        <v>46258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46258</v>
      </c>
      <c r="F423" t="inlineStr">
        <is>
          <t>HALLANDS LÄN</t>
        </is>
      </c>
      <c r="G423" t="inlineStr">
        <is>
          <t>VARBERG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46258</v>
      </c>
      <c r="F424" t="inlineStr">
        <is>
          <t>HALLANDS LÄN</t>
        </is>
      </c>
      <c r="G424" t="inlineStr">
        <is>
          <t>VARBERG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46258</v>
      </c>
      <c r="F425" t="inlineStr">
        <is>
          <t>HALLANDS LÄN</t>
        </is>
      </c>
      <c r="G425" t="inlineStr">
        <is>
          <t>VARBERG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46258</v>
      </c>
      <c r="F426" t="inlineStr">
        <is>
          <t>HALLANDS LÄN</t>
        </is>
      </c>
      <c r="G426" t="inlineStr">
        <is>
          <t>VARBERG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45096</v>
      </c>
      <c r="E427" s="1" t="n">
        <v>46258</v>
      </c>
      <c r="F427" t="inlineStr">
        <is>
          <t>HALLANDS LÄN</t>
        </is>
      </c>
      <c r="G427" t="inlineStr">
        <is>
          <t>VARBERG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46258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46258</v>
      </c>
      <c r="F429" t="inlineStr">
        <is>
          <t>HALLANDS LÄN</t>
        </is>
      </c>
      <c r="G429" t="inlineStr">
        <is>
          <t>VARBERG</t>
        </is>
      </c>
      <c r="H429" t="inlineStr">
        <is>
          <t>Övriga statliga verk och myndigheter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46258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46258</v>
      </c>
      <c r="F431" t="inlineStr">
        <is>
          <t>HALLANDS LÄN</t>
        </is>
      </c>
      <c r="G431" t="inlineStr">
        <is>
          <t>VARBERG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46258</v>
      </c>
      <c r="F432" t="inlineStr">
        <is>
          <t>HALLANDS LÄN</t>
        </is>
      </c>
      <c r="G432" t="inlineStr">
        <is>
          <t>VARBERG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46258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46258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45131</v>
      </c>
      <c r="E435" s="1" t="n">
        <v>46258</v>
      </c>
      <c r="F435" t="inlineStr">
        <is>
          <t>HALLANDS LÄN</t>
        </is>
      </c>
      <c r="G435" t="inlineStr">
        <is>
          <t>VARBERG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46258</v>
      </c>
      <c r="F436" t="inlineStr">
        <is>
          <t>HALLANDS LÄN</t>
        </is>
      </c>
      <c r="G436" t="inlineStr">
        <is>
          <t>VARBERG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46258</v>
      </c>
      <c r="F437" t="inlineStr">
        <is>
          <t>HALLANDS LÄN</t>
        </is>
      </c>
      <c r="G437" t="inlineStr">
        <is>
          <t>VARBERG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46258</v>
      </c>
      <c r="F438" t="inlineStr">
        <is>
          <t>HALLANDS LÄN</t>
        </is>
      </c>
      <c r="G438" t="inlineStr">
        <is>
          <t>VARBERG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46258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46258</v>
      </c>
      <c r="F440" t="inlineStr">
        <is>
          <t>HALLANDS LÄN</t>
        </is>
      </c>
      <c r="G440" t="inlineStr">
        <is>
          <t>VARBERG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45404</v>
      </c>
      <c r="E441" s="1" t="n">
        <v>46258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46258</v>
      </c>
      <c r="F442" t="inlineStr">
        <is>
          <t>HALLANDS LÄN</t>
        </is>
      </c>
      <c r="G442" t="inlineStr">
        <is>
          <t>VARBERG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46258</v>
      </c>
      <c r="F443" t="inlineStr">
        <is>
          <t>HALLANDS LÄN</t>
        </is>
      </c>
      <c r="G443" t="inlineStr">
        <is>
          <t>VARBERG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46258</v>
      </c>
      <c r="F444" t="inlineStr">
        <is>
          <t>HALLANDS LÄN</t>
        </is>
      </c>
      <c r="G444" t="inlineStr">
        <is>
          <t>VARBERG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46258</v>
      </c>
      <c r="F445" t="inlineStr">
        <is>
          <t>HALLANDS LÄN</t>
        </is>
      </c>
      <c r="G445" t="inlineStr">
        <is>
          <t>VARBERG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46258</v>
      </c>
      <c r="F446" t="inlineStr">
        <is>
          <t>HALLANDS LÄN</t>
        </is>
      </c>
      <c r="G446" t="inlineStr">
        <is>
          <t>VARBERG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46258</v>
      </c>
      <c r="F447" t="inlineStr">
        <is>
          <t>HALLANDS LÄN</t>
        </is>
      </c>
      <c r="G447" t="inlineStr">
        <is>
          <t>VARBERG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46258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46258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45378</v>
      </c>
      <c r="E450" s="1" t="n">
        <v>46258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46258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46258</v>
      </c>
      <c r="F452" t="inlineStr">
        <is>
          <t>HALLANDS LÄN</t>
        </is>
      </c>
      <c r="G452" t="inlineStr">
        <is>
          <t>VARBERG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45336</v>
      </c>
      <c r="E453" s="1" t="n">
        <v>46258</v>
      </c>
      <c r="F453" t="inlineStr">
        <is>
          <t>HALLANDS LÄN</t>
        </is>
      </c>
      <c r="G453" t="inlineStr">
        <is>
          <t>VARBERG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45434</v>
      </c>
      <c r="E454" s="1" t="n">
        <v>46258</v>
      </c>
      <c r="F454" t="inlineStr">
        <is>
          <t>HALLANDS LÄN</t>
        </is>
      </c>
      <c r="G454" t="inlineStr">
        <is>
          <t>VARBERG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46258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46258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46258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46258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46258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46258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46258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46258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46258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46258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46258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46258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46258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46258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46258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46258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46258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46258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2026-08-24T01:47:33Z</dcterms:created>
  <dcterms:modified xmlns:dcterms="http://purl.org/dc/terms/" xmlns:xsi="http://www.w3.org/2001/XMLSchema-instance" xsi:type="dcterms:W3CDTF">2026-08-24T01:47:33Z</dcterms:modified>
</cp:coreProperties>
</file>