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46311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46311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46311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46311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46311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46311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46311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46311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46311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46311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15066-2022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44657</v>
      </c>
      <c r="E18" s="1" t="n">
        <v>46311</v>
      </c>
      <c r="F18" t="inlineStr">
        <is>
          <t>HALLANDS LÄN</t>
        </is>
      </c>
      <c r="G18" t="inlineStr">
        <is>
          <t>VARBERG</t>
        </is>
      </c>
      <c r="I18" t="n">
        <v>4.8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Grönvit nattviol</t>
        </is>
      </c>
      <c r="W18">
        <f>HYPERLINK("https://klasma.github.io/Logging_1383/artfynd/A 15066-2022 artfynd.xlsx", "A 15066-2022")</f>
        <v/>
      </c>
      <c r="X18">
        <f>HYPERLINK("https://klasma.github.io/Logging_1383/kartor/A 15066-2022 karta.png", "A 15066-2022")</f>
        <v/>
      </c>
      <c r="Y18">
        <f>HYPERLINK("https://klasma.github.io/Logging_1383/kartor_geotiff/A 15066-2022 georefererad karta.tif", "A 15066-2022")</f>
        <v/>
      </c>
      <c r="AA18">
        <f>HYPERLINK("https://klasma.github.io/Logging_1383/klagomål/A 15066-2022 FSC-klagomål.docx", "A 15066-2022")</f>
        <v/>
      </c>
      <c r="AB18">
        <f>HYPERLINK("https://klasma.github.io/Logging_1383/klagomålsmail/A 15066-2022 FSC-klagomål mail.docx", "A 15066-2022")</f>
        <v/>
      </c>
      <c r="AC18">
        <f>HYPERLINK("https://klasma.github.io/Logging_1383/tillsyn/A 15066-2022 tillsynsbegäran.docx", "A 15066-2022")</f>
        <v/>
      </c>
      <c r="AD18">
        <f>HYPERLINK("https://klasma.github.io/Logging_1383/tillsynsmail/A 15066-2022 tillsynsbegäran mail.docx", "A 15066-2022")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46311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46311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61966-2022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44918</v>
      </c>
      <c r="E21" s="1" t="n">
        <v>46311</v>
      </c>
      <c r="F21" t="inlineStr">
        <is>
          <t>HALLANDS LÄN</t>
        </is>
      </c>
      <c r="G21" t="inlineStr">
        <is>
          <t>VARBERG</t>
        </is>
      </c>
      <c r="I21" t="n">
        <v>0.7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Åkersyska</t>
        </is>
      </c>
      <c r="W21">
        <f>HYPERLINK("https://klasma.github.io/Logging_1383/artfynd/A 61966-2022 artfynd.xlsx", "A 61966-2022")</f>
        <v/>
      </c>
      <c r="X21">
        <f>HYPERLINK("https://klasma.github.io/Logging_1383/kartor/A 61966-2022 karta.png", "A 61966-2022")</f>
        <v/>
      </c>
      <c r="Y21">
        <f>HYPERLINK("https://klasma.github.io/Logging_1383/kartor_geotiff/A 61966-2022 georefererad karta.tif", "A 61966-2022")</f>
        <v/>
      </c>
      <c r="AA21">
        <f>HYPERLINK("https://klasma.github.io/Logging_1383/klagomål/A 61966-2022 FSC-klagomål.docx", "A 61966-2022")</f>
        <v/>
      </c>
      <c r="AB21">
        <f>HYPERLINK("https://klasma.github.io/Logging_1383/klagomålsmail/A 61966-2022 FSC-klagomål mail.docx", "A 61966-2022")</f>
        <v/>
      </c>
      <c r="AC21">
        <f>HYPERLINK("https://klasma.github.io/Logging_1383/tillsyn/A 61966-2022 tillsynsbegäran.docx", "A 61966-2022")</f>
        <v/>
      </c>
      <c r="AD21">
        <f>HYPERLINK("https://klasma.github.io/Logging_1383/tillsynsmail/A 61966-2022 tillsynsbegäran mail.docx", "A 61966-2022")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46311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34833-2023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45141</v>
      </c>
      <c r="E23" s="1" t="n">
        <v>46311</v>
      </c>
      <c r="F23" t="inlineStr">
        <is>
          <t>HALLANDS LÄN</t>
        </is>
      </c>
      <c r="G23" t="inlineStr">
        <is>
          <t>VARBERG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HYPERLINK("https://klasma.github.io/Logging_1383/artfynd/A 34833-2023 artfynd.xlsx", "A 34833-2023")</f>
        <v/>
      </c>
      <c r="X23">
        <f>HYPERLINK("https://klasma.github.io/Logging_1383/kartor/A 34833-2023 karta.png", "A 34833-2023")</f>
        <v/>
      </c>
      <c r="Y23">
        <f>HYPERLINK("https://klasma.github.io/Logging_1383/kartor_geotiff/A 34833-2023 georefererad karta.tif", "A 34833-2023")</f>
        <v/>
      </c>
      <c r="AA23">
        <f>HYPERLINK("https://klasma.github.io/Logging_1383/klagomål/A 34833-2023 FSC-klagomål.docx", "A 34833-2023")</f>
        <v/>
      </c>
      <c r="AB23">
        <f>HYPERLINK("https://klasma.github.io/Logging_1383/klagomålsmail/A 34833-2023 FSC-klagomål mail.docx", "A 34833-2023")</f>
        <v/>
      </c>
      <c r="AC23">
        <f>HYPERLINK("https://klasma.github.io/Logging_1383/tillsyn/A 34833-2023 tillsynsbegäran.docx", "A 34833-2023")</f>
        <v/>
      </c>
      <c r="AD23">
        <f>HYPERLINK("https://klasma.github.io/Logging_1383/tillsynsmail/A 34833-2023 tillsynsbegäran mail.docx", "A 34833-2023")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46311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8906-2025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46311</v>
      </c>
      <c r="F25" t="inlineStr">
        <is>
          <t>HALLANDS LÄN</t>
        </is>
      </c>
      <c r="G25" t="inlineStr">
        <is>
          <t>VARBERG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Flytsvalting</t>
        </is>
      </c>
      <c r="W25">
        <f>HYPERLINK("https://klasma.github.io/Logging_1383/artfynd/A 8906-2025 artfynd.xlsx", "A 8906-2025")</f>
        <v/>
      </c>
      <c r="X25">
        <f>HYPERLINK("https://klasma.github.io/Logging_1383/kartor/A 8906-2025 karta.png", "A 8906-2025")</f>
        <v/>
      </c>
      <c r="Y25">
        <f>HYPERLINK("https://klasma.github.io/Logging_1383/kartor_geotiff/A 8906-2025 georefererad karta.tif", "A 8906-2025")</f>
        <v/>
      </c>
      <c r="AA25">
        <f>HYPERLINK("https://klasma.github.io/Logging_1383/klagomål/A 8906-2025 FSC-klagomål.docx", "A 8906-2025")</f>
        <v/>
      </c>
      <c r="AB25">
        <f>HYPERLINK("https://klasma.github.io/Logging_1383/klagomålsmail/A 8906-2025 FSC-klagomål mail.docx", "A 8906-2025")</f>
        <v/>
      </c>
      <c r="AC25">
        <f>HYPERLINK("https://klasma.github.io/Logging_1383/tillsyn/A 8906-2025 tillsynsbegäran.docx", "A 8906-2025")</f>
        <v/>
      </c>
      <c r="AD25">
        <f>HYPERLINK("https://klasma.github.io/Logging_1383/tillsynsmail/A 8906-2025 tillsynsbegäran mail.docx", "A 8906-2025")</f>
        <v/>
      </c>
    </row>
    <row r="26" ht="15" customHeight="1">
      <c r="A26" t="inlineStr">
        <is>
          <t>A 42724-2025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45908</v>
      </c>
      <c r="E26" s="1" t="n">
        <v>46311</v>
      </c>
      <c r="F26" t="inlineStr">
        <is>
          <t>HALLANDS LÄN</t>
        </is>
      </c>
      <c r="G26" t="inlineStr">
        <is>
          <t>VARBERG</t>
        </is>
      </c>
      <c r="I26" t="n">
        <v>4.2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Hasselmus</t>
        </is>
      </c>
      <c r="W26">
        <f>HYPERLINK("https://klasma.github.io/Logging_1383/artfynd/A 42724-2025 artfynd.xlsx", "A 42724-2025")</f>
        <v/>
      </c>
      <c r="X26">
        <f>HYPERLINK("https://klasma.github.io/Logging_1383/kartor/A 42724-2025 karta.png", "A 42724-2025")</f>
        <v/>
      </c>
      <c r="Y26">
        <f>HYPERLINK("https://klasma.github.io/Logging_1383/kartor_geotiff/A 42724-2025 georefererad karta.tif", "A 42724-2025")</f>
        <v/>
      </c>
      <c r="AA26">
        <f>HYPERLINK("https://klasma.github.io/Logging_1383/klagomål/A 42724-2025 FSC-klagomål.docx", "A 42724-2025")</f>
        <v/>
      </c>
      <c r="AB26">
        <f>HYPERLINK("https://klasma.github.io/Logging_1383/klagomålsmail/A 42724-2025 FSC-klagomål mail.docx", "A 42724-2025")</f>
        <v/>
      </c>
      <c r="AC26">
        <f>HYPERLINK("https://klasma.github.io/Logging_1383/tillsyn/A 42724-2025 tillsynsbegäran.docx", "A 42724-2025")</f>
        <v/>
      </c>
      <c r="AD26">
        <f>HYPERLINK("https://klasma.github.io/Logging_1383/tillsynsmail/A 42724-2025 tillsynsbegäran mail.docx", "A 42724-2025")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46311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46311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46737-2023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45198</v>
      </c>
      <c r="E29" s="1" t="n">
        <v>46311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HYPERLINK("https://klasma.github.io/Logging_1383/artfynd/A 46737-2023 artfynd.xlsx", "A 46737-2023")</f>
        <v/>
      </c>
      <c r="X29">
        <f>HYPERLINK("https://klasma.github.io/Logging_1383/kartor/A 46737-2023 karta.png", "A 46737-2023")</f>
        <v/>
      </c>
      <c r="Y29">
        <f>HYPERLINK("https://klasma.github.io/Logging_1383/kartor_geotiff/A 46737-2023 georefererad karta.tif", "A 46737-2023")</f>
        <v/>
      </c>
      <c r="AA29">
        <f>HYPERLINK("https://klasma.github.io/Logging_1383/klagomål/A 46737-2023 FSC-klagomål.docx", "A 46737-2023")</f>
        <v/>
      </c>
      <c r="AB29">
        <f>HYPERLINK("https://klasma.github.io/Logging_1383/klagomålsmail/A 46737-2023 FSC-klagomål mail.docx", "A 46737-2023")</f>
        <v/>
      </c>
      <c r="AC29">
        <f>HYPERLINK("https://klasma.github.io/Logging_1383/tillsyn/A 46737-2023 tillsynsbegäran.docx", "A 46737-2023")</f>
        <v/>
      </c>
      <c r="AD29">
        <f>HYPERLINK("https://klasma.github.io/Logging_1383/tillsynsmail/A 46737-2023 tillsynsbegäran mail.docx", "A 46737-2023")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46311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46311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46311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46311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46311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46311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46311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20045-2024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46311</v>
      </c>
      <c r="F37" t="inlineStr">
        <is>
          <t>HALLANDS LÄN</t>
        </is>
      </c>
      <c r="G37" t="inlineStr">
        <is>
          <t>VARBERG</t>
        </is>
      </c>
      <c r="I37" t="n">
        <v>3.8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HYPERLINK("https://klasma.github.io/Logging_1383/artfynd/A 20045-2024 artfynd.xlsx", "A 20045-2024")</f>
        <v/>
      </c>
      <c r="X37">
        <f>HYPERLINK("https://klasma.github.io/Logging_1383/kartor/A 20045-2024 karta.png", "A 20045-2024")</f>
        <v/>
      </c>
      <c r="Y37">
        <f>HYPERLINK("https://klasma.github.io/Logging_1383/kartor_geotiff/A 20045-2024 georefererad karta.tif", "A 20045-2024")</f>
        <v/>
      </c>
      <c r="AA37">
        <f>HYPERLINK("https://klasma.github.io/Logging_1383/klagomål/A 20045-2024 FSC-klagomål.docx", "A 20045-2024")</f>
        <v/>
      </c>
      <c r="AB37">
        <f>HYPERLINK("https://klasma.github.io/Logging_1383/klagomålsmail/A 20045-2024 FSC-klagomål mail.docx", "A 20045-2024")</f>
        <v/>
      </c>
      <c r="AC37">
        <f>HYPERLINK("https://klasma.github.io/Logging_1383/tillsyn/A 20045-2024 tillsynsbegäran.docx", "A 20045-2024")</f>
        <v/>
      </c>
      <c r="AD37">
        <f>HYPERLINK("https://klasma.github.io/Logging_1383/tillsynsmail/A 20045-2024 tillsynsbegäran mail.docx", "A 20045-2024")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46311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46311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46311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46311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46311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46311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46311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46311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46311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46311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46311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46311</v>
      </c>
      <c r="F53" t="inlineStr">
        <is>
          <t>HALLANDS LÄN</t>
        </is>
      </c>
      <c r="G53" t="inlineStr">
        <is>
          <t>VARBERG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46311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46311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46311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46311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46311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46311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46311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46311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46311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46311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46026-2023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45196</v>
      </c>
      <c r="E65" s="1" t="n">
        <v>46311</v>
      </c>
      <c r="F65" t="inlineStr">
        <is>
          <t>HALLANDS LÄN</t>
        </is>
      </c>
      <c r="G65" t="inlineStr">
        <is>
          <t>VARBERG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46311</v>
      </c>
      <c r="F66" t="inlineStr">
        <is>
          <t>HALLANDS LÄN</t>
        </is>
      </c>
      <c r="G66" t="inlineStr">
        <is>
          <t>VARBERG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46311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46311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46311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46311</v>
      </c>
      <c r="F70" t="inlineStr">
        <is>
          <t>HALLANDS LÄN</t>
        </is>
      </c>
      <c r="G70" t="inlineStr">
        <is>
          <t>VARBERG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46311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45509</v>
      </c>
      <c r="E72" s="1" t="n">
        <v>46311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46311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46311</v>
      </c>
      <c r="F74" t="inlineStr">
        <is>
          <t>HALLANDS LÄN</t>
        </is>
      </c>
      <c r="G74" t="inlineStr">
        <is>
          <t>VARBERG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45055</v>
      </c>
      <c r="E75" s="1" t="n">
        <v>46311</v>
      </c>
      <c r="F75" t="inlineStr">
        <is>
          <t>HALLANDS LÄN</t>
        </is>
      </c>
      <c r="G75" t="inlineStr">
        <is>
          <t>VARBERG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46311</v>
      </c>
      <c r="F76" t="inlineStr">
        <is>
          <t>HALLANDS LÄN</t>
        </is>
      </c>
      <c r="G76" t="inlineStr">
        <is>
          <t>VARBERG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45075</v>
      </c>
      <c r="E77" s="1" t="n">
        <v>46311</v>
      </c>
      <c r="F77" t="inlineStr">
        <is>
          <t>HALLANDS LÄN</t>
        </is>
      </c>
      <c r="G77" t="inlineStr">
        <is>
          <t>VARBERG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26117-2025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45805</v>
      </c>
      <c r="E78" s="1" t="n">
        <v>46311</v>
      </c>
      <c r="F78" t="inlineStr">
        <is>
          <t>HALLANDS LÄN</t>
        </is>
      </c>
      <c r="G78" t="inlineStr">
        <is>
          <t>VARBERG</t>
        </is>
      </c>
      <c r="H78" t="inlineStr">
        <is>
          <t>Kommuner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46311</v>
      </c>
      <c r="F79" t="inlineStr">
        <is>
          <t>HALLANDS LÄN</t>
        </is>
      </c>
      <c r="G79" t="inlineStr">
        <is>
          <t>VARBERG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28092-2024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45476</v>
      </c>
      <c r="E80" s="1" t="n">
        <v>46311</v>
      </c>
      <c r="F80" t="inlineStr">
        <is>
          <t>HALLANDS LÄN</t>
        </is>
      </c>
      <c r="G80" t="inlineStr">
        <is>
          <t>VARBERG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46311</v>
      </c>
      <c r="F81" t="inlineStr">
        <is>
          <t>HALLANDS LÄN</t>
        </is>
      </c>
      <c r="G81" t="inlineStr">
        <is>
          <t>VARBERG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46311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46311</v>
      </c>
      <c r="F83" t="inlineStr">
        <is>
          <t>HALLANDS LÄN</t>
        </is>
      </c>
      <c r="G83" t="inlineStr">
        <is>
          <t>VARBERG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46311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46311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45300</v>
      </c>
      <c r="E86" s="1" t="n">
        <v>46311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46311</v>
      </c>
      <c r="F87" t="inlineStr">
        <is>
          <t>HALLANDS LÄN</t>
        </is>
      </c>
      <c r="G87" t="inlineStr">
        <is>
          <t>VARBERG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45813</v>
      </c>
      <c r="E88" s="1" t="n">
        <v>46311</v>
      </c>
      <c r="F88" t="inlineStr">
        <is>
          <t>HALLANDS LÄN</t>
        </is>
      </c>
      <c r="G88" t="inlineStr">
        <is>
          <t>VARBERG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46311</v>
      </c>
      <c r="F89" t="inlineStr">
        <is>
          <t>HALLANDS LÄN</t>
        </is>
      </c>
      <c r="G89" t="inlineStr">
        <is>
          <t>VARBERG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44734</v>
      </c>
      <c r="E90" s="1" t="n">
        <v>46311</v>
      </c>
      <c r="F90" t="inlineStr">
        <is>
          <t>HALLANDS LÄN</t>
        </is>
      </c>
      <c r="G90" t="inlineStr">
        <is>
          <t>VARBERG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46311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46311</v>
      </c>
      <c r="F92" t="inlineStr">
        <is>
          <t>HALLANDS LÄN</t>
        </is>
      </c>
      <c r="G92" t="inlineStr">
        <is>
          <t>VARBERG</t>
        </is>
      </c>
      <c r="H92" t="inlineStr">
        <is>
          <t>Övriga statliga verk och myndigheter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15250-2025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45744</v>
      </c>
      <c r="E93" s="1" t="n">
        <v>46311</v>
      </c>
      <c r="F93" t="inlineStr">
        <is>
          <t>HALLANDS LÄN</t>
        </is>
      </c>
      <c r="G93" t="inlineStr">
        <is>
          <t>VARBERG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46311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46311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45436</v>
      </c>
      <c r="E96" s="1" t="n">
        <v>46311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46311</v>
      </c>
      <c r="F97" t="inlineStr">
        <is>
          <t>HALLANDS LÄN</t>
        </is>
      </c>
      <c r="G97" t="inlineStr">
        <is>
          <t>VARBERG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45085</v>
      </c>
      <c r="E98" s="1" t="n">
        <v>46311</v>
      </c>
      <c r="F98" t="inlineStr">
        <is>
          <t>HALLANDS LÄN</t>
        </is>
      </c>
      <c r="G98" t="inlineStr">
        <is>
          <t>VARBERG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46311</v>
      </c>
      <c r="F99" t="inlineStr">
        <is>
          <t>HALLANDS LÄN</t>
        </is>
      </c>
      <c r="G99" t="inlineStr">
        <is>
          <t>VARBERG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29630-2025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46311</v>
      </c>
      <c r="F100" t="inlineStr">
        <is>
          <t>HALLANDS LÄN</t>
        </is>
      </c>
      <c r="G100" t="inlineStr">
        <is>
          <t>VARBERG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46311</v>
      </c>
      <c r="F101" t="inlineStr">
        <is>
          <t>HALLANDS LÄN</t>
        </is>
      </c>
      <c r="G101" t="inlineStr">
        <is>
          <t>VARBERG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44890</v>
      </c>
      <c r="E102" s="1" t="n">
        <v>46311</v>
      </c>
      <c r="F102" t="inlineStr">
        <is>
          <t>HALLANDS LÄN</t>
        </is>
      </c>
      <c r="G102" t="inlineStr">
        <is>
          <t>VARBERG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45058</v>
      </c>
      <c r="E103" s="1" t="n">
        <v>46311</v>
      </c>
      <c r="F103" t="inlineStr">
        <is>
          <t>HALLANDS LÄN</t>
        </is>
      </c>
      <c r="G103" t="inlineStr">
        <is>
          <t>VARBERG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46311</v>
      </c>
      <c r="F104" t="inlineStr">
        <is>
          <t>HALLANDS LÄN</t>
        </is>
      </c>
      <c r="G104" t="inlineStr">
        <is>
          <t>VARBERG</t>
        </is>
      </c>
      <c r="H104" t="inlineStr">
        <is>
          <t>Kyrkan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45275</v>
      </c>
      <c r="E105" s="1" t="n">
        <v>46311</v>
      </c>
      <c r="F105" t="inlineStr">
        <is>
          <t>HALLANDS LÄN</t>
        </is>
      </c>
      <c r="G105" t="inlineStr">
        <is>
          <t>VARBERG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46311</v>
      </c>
      <c r="F106" t="inlineStr">
        <is>
          <t>HALLANDS LÄN</t>
        </is>
      </c>
      <c r="G106" t="inlineStr">
        <is>
          <t>VARBERG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46311</v>
      </c>
      <c r="F107" t="inlineStr">
        <is>
          <t>HALLANDS LÄN</t>
        </is>
      </c>
      <c r="G107" t="inlineStr">
        <is>
          <t>VARBERG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46311</v>
      </c>
      <c r="F108" t="inlineStr">
        <is>
          <t>HALLANDS LÄN</t>
        </is>
      </c>
      <c r="G108" t="inlineStr">
        <is>
          <t>VARBERG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46311</v>
      </c>
      <c r="F109" t="inlineStr">
        <is>
          <t>HALLANDS LÄN</t>
        </is>
      </c>
      <c r="G109" t="inlineStr">
        <is>
          <t>VARBERG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46311</v>
      </c>
      <c r="F110" t="inlineStr">
        <is>
          <t>HALLANDS LÄN</t>
        </is>
      </c>
      <c r="G110" t="inlineStr">
        <is>
          <t>VARBERG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45839</v>
      </c>
      <c r="E111" s="1" t="n">
        <v>46311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46311</v>
      </c>
      <c r="F112" t="inlineStr">
        <is>
          <t>HALLANDS LÄN</t>
        </is>
      </c>
      <c r="G112" t="inlineStr">
        <is>
          <t>VARBERG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46311</v>
      </c>
      <c r="F113" t="inlineStr">
        <is>
          <t>HALLANDS LÄN</t>
        </is>
      </c>
      <c r="G113" t="inlineStr">
        <is>
          <t>VARBERG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45323</v>
      </c>
      <c r="E114" s="1" t="n">
        <v>46311</v>
      </c>
      <c r="F114" t="inlineStr">
        <is>
          <t>HALLANDS LÄN</t>
        </is>
      </c>
      <c r="G114" t="inlineStr">
        <is>
          <t>VARBERG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46311</v>
      </c>
      <c r="F115" t="inlineStr">
        <is>
          <t>HALLANDS LÄN</t>
        </is>
      </c>
      <c r="G115" t="inlineStr">
        <is>
          <t>VARBERG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45097</v>
      </c>
      <c r="E116" s="1" t="n">
        <v>46311</v>
      </c>
      <c r="F116" t="inlineStr">
        <is>
          <t>HALLANDS LÄN</t>
        </is>
      </c>
      <c r="G116" t="inlineStr">
        <is>
          <t>VARBERG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46311</v>
      </c>
      <c r="F117" t="inlineStr">
        <is>
          <t>HALLANDS LÄN</t>
        </is>
      </c>
      <c r="G117" t="inlineStr">
        <is>
          <t>VARBERG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45852</v>
      </c>
      <c r="E118" s="1" t="n">
        <v>46311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46311</v>
      </c>
      <c r="F119" t="inlineStr">
        <is>
          <t>HALLANDS LÄN</t>
        </is>
      </c>
      <c r="G119" t="inlineStr">
        <is>
          <t>VARBERG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45852</v>
      </c>
      <c r="E120" s="1" t="n">
        <v>46311</v>
      </c>
      <c r="F120" t="inlineStr">
        <is>
          <t>HALLANDS LÄN</t>
        </is>
      </c>
      <c r="G120" t="inlineStr">
        <is>
          <t>VARBERG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46311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46311</v>
      </c>
      <c r="F122" t="inlineStr">
        <is>
          <t>HALLANDS LÄN</t>
        </is>
      </c>
      <c r="G122" t="inlineStr">
        <is>
          <t>VARBERG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46311</v>
      </c>
      <c r="F123" t="inlineStr">
        <is>
          <t>HALLANDS LÄN</t>
        </is>
      </c>
      <c r="G123" t="inlineStr">
        <is>
          <t>VARBERG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45736</v>
      </c>
      <c r="E124" s="1" t="n">
        <v>46311</v>
      </c>
      <c r="F124" t="inlineStr">
        <is>
          <t>HALLANDS LÄN</t>
        </is>
      </c>
      <c r="G124" t="inlineStr">
        <is>
          <t>VARBERG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46311</v>
      </c>
      <c r="F125" t="inlineStr">
        <is>
          <t>HALLANDS LÄN</t>
        </is>
      </c>
      <c r="G125" t="inlineStr">
        <is>
          <t>VARBERG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46311</v>
      </c>
      <c r="F126" t="inlineStr">
        <is>
          <t>HALLANDS LÄN</t>
        </is>
      </c>
      <c r="G126" t="inlineStr">
        <is>
          <t>VARBERG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46311</v>
      </c>
      <c r="F127" t="inlineStr">
        <is>
          <t>HALLANDS LÄN</t>
        </is>
      </c>
      <c r="G127" t="inlineStr">
        <is>
          <t>VARBERG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44985</v>
      </c>
      <c r="E128" s="1" t="n">
        <v>46311</v>
      </c>
      <c r="F128" t="inlineStr">
        <is>
          <t>HALLANDS LÄN</t>
        </is>
      </c>
      <c r="G128" t="inlineStr">
        <is>
          <t>VARBERG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46311</v>
      </c>
      <c r="F129" t="inlineStr">
        <is>
          <t>HALLANDS LÄN</t>
        </is>
      </c>
      <c r="G129" t="inlineStr">
        <is>
          <t>VARBERG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44827</v>
      </c>
      <c r="E130" s="1" t="n">
        <v>46311</v>
      </c>
      <c r="F130" t="inlineStr">
        <is>
          <t>HALLANDS LÄN</t>
        </is>
      </c>
      <c r="G130" t="inlineStr">
        <is>
          <t>VARBERG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44867</v>
      </c>
      <c r="E131" s="1" t="n">
        <v>46311</v>
      </c>
      <c r="F131" t="inlineStr">
        <is>
          <t>HALLANDS LÄN</t>
        </is>
      </c>
      <c r="G131" t="inlineStr">
        <is>
          <t>VARBERG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45200</v>
      </c>
      <c r="E132" s="1" t="n">
        <v>46311</v>
      </c>
      <c r="F132" t="inlineStr">
        <is>
          <t>HALLANDS LÄN</t>
        </is>
      </c>
      <c r="G132" t="inlineStr">
        <is>
          <t>VARBERG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49760-2024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45597</v>
      </c>
      <c r="E133" s="1" t="n">
        <v>46311</v>
      </c>
      <c r="F133" t="inlineStr">
        <is>
          <t>HALLANDS LÄN</t>
        </is>
      </c>
      <c r="G133" t="inlineStr">
        <is>
          <t>VARBERG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46311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46311</v>
      </c>
      <c r="F135" t="inlineStr">
        <is>
          <t>HALLANDS LÄN</t>
        </is>
      </c>
      <c r="G135" t="inlineStr">
        <is>
          <t>VARBERG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44545</v>
      </c>
      <c r="E136" s="1" t="n">
        <v>46311</v>
      </c>
      <c r="F136" t="inlineStr">
        <is>
          <t>HALLANDS LÄN</t>
        </is>
      </c>
      <c r="G136" t="inlineStr">
        <is>
          <t>VARBERG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44982</v>
      </c>
      <c r="E137" s="1" t="n">
        <v>46311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46311</v>
      </c>
      <c r="F138" t="inlineStr">
        <is>
          <t>HALLANDS LÄN</t>
        </is>
      </c>
      <c r="G138" t="inlineStr">
        <is>
          <t>VARBERG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46311</v>
      </c>
      <c r="F139" t="inlineStr">
        <is>
          <t>HALLANDS LÄN</t>
        </is>
      </c>
      <c r="G139" t="inlineStr">
        <is>
          <t>VARBERG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46311</v>
      </c>
      <c r="F140" t="inlineStr">
        <is>
          <t>HALLANDS LÄN</t>
        </is>
      </c>
      <c r="G140" t="inlineStr">
        <is>
          <t>VARBERG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45313</v>
      </c>
      <c r="E141" s="1" t="n">
        <v>46311</v>
      </c>
      <c r="F141" t="inlineStr">
        <is>
          <t>HALLANDS LÄN</t>
        </is>
      </c>
      <c r="G141" t="inlineStr">
        <is>
          <t>VARBERG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55705-2024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45622</v>
      </c>
      <c r="E142" s="1" t="n">
        <v>46311</v>
      </c>
      <c r="F142" t="inlineStr">
        <is>
          <t>HALLANDS LÄN</t>
        </is>
      </c>
      <c r="G142" t="inlineStr">
        <is>
          <t>VARBERG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44767</v>
      </c>
      <c r="E143" s="1" t="n">
        <v>46311</v>
      </c>
      <c r="F143" t="inlineStr">
        <is>
          <t>HALLANDS LÄN</t>
        </is>
      </c>
      <c r="G143" t="inlineStr">
        <is>
          <t>VARBERG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44767</v>
      </c>
      <c r="E144" s="1" t="n">
        <v>46311</v>
      </c>
      <c r="F144" t="inlineStr">
        <is>
          <t>HALLANDS LÄN</t>
        </is>
      </c>
      <c r="G144" t="inlineStr">
        <is>
          <t>VARBERG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46311</v>
      </c>
      <c r="F145" t="inlineStr">
        <is>
          <t>HALLANDS LÄN</t>
        </is>
      </c>
      <c r="G145" t="inlineStr">
        <is>
          <t>VARBERG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45873</v>
      </c>
      <c r="E146" s="1" t="n">
        <v>46311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46311</v>
      </c>
      <c r="F147" t="inlineStr">
        <is>
          <t>HALLANDS LÄN</t>
        </is>
      </c>
      <c r="G147" t="inlineStr">
        <is>
          <t>VARBERG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46311</v>
      </c>
      <c r="F148" t="inlineStr">
        <is>
          <t>HALLANDS LÄN</t>
        </is>
      </c>
      <c r="G148" t="inlineStr">
        <is>
          <t>VARBERG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71841-2021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46311</v>
      </c>
      <c r="F149" t="inlineStr">
        <is>
          <t>HALLANDS LÄN</t>
        </is>
      </c>
      <c r="G149" t="inlineStr">
        <is>
          <t>VARBERG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46311</v>
      </c>
      <c r="F150" t="inlineStr">
        <is>
          <t>HALLANDS LÄN</t>
        </is>
      </c>
      <c r="G150" t="inlineStr">
        <is>
          <t>VARBERG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46311</v>
      </c>
      <c r="F151" t="inlineStr">
        <is>
          <t>HALLANDS LÄN</t>
        </is>
      </c>
      <c r="G151" t="inlineStr">
        <is>
          <t>VARBERG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46311</v>
      </c>
      <c r="F152" t="inlineStr">
        <is>
          <t>HALLANDS LÄN</t>
        </is>
      </c>
      <c r="G152" t="inlineStr">
        <is>
          <t>VARBERG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46311</v>
      </c>
      <c r="F153" t="inlineStr">
        <is>
          <t>HALLANDS LÄN</t>
        </is>
      </c>
      <c r="G153" t="inlineStr">
        <is>
          <t>VARBERG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45984-2024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45580</v>
      </c>
      <c r="E154" s="1" t="n">
        <v>46311</v>
      </c>
      <c r="F154" t="inlineStr">
        <is>
          <t>HALLANDS LÄN</t>
        </is>
      </c>
      <c r="G154" t="inlineStr">
        <is>
          <t>VARBERG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44574</v>
      </c>
      <c r="E155" s="1" t="n">
        <v>46311</v>
      </c>
      <c r="F155" t="inlineStr">
        <is>
          <t>HALLANDS LÄN</t>
        </is>
      </c>
      <c r="G155" t="inlineStr">
        <is>
          <t>VARBERG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46311</v>
      </c>
      <c r="F156" t="inlineStr">
        <is>
          <t>HALLANDS LÄN</t>
        </is>
      </c>
      <c r="G156" t="inlineStr">
        <is>
          <t>VARBERG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46311</v>
      </c>
      <c r="F157" t="inlineStr">
        <is>
          <t>HALLANDS LÄN</t>
        </is>
      </c>
      <c r="G157" t="inlineStr">
        <is>
          <t>VARBERG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9235-2023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44980</v>
      </c>
      <c r="E158" s="1" t="n">
        <v>46311</v>
      </c>
      <c r="F158" t="inlineStr">
        <is>
          <t>HALLANDS LÄN</t>
        </is>
      </c>
      <c r="G158" t="inlineStr">
        <is>
          <t>VARBERG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46311</v>
      </c>
      <c r="F159" t="inlineStr">
        <is>
          <t>HALLANDS LÄN</t>
        </is>
      </c>
      <c r="G159" t="inlineStr">
        <is>
          <t>VARBERG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44595</v>
      </c>
      <c r="E160" s="1" t="n">
        <v>46311</v>
      </c>
      <c r="F160" t="inlineStr">
        <is>
          <t>HALLANDS LÄN</t>
        </is>
      </c>
      <c r="G160" t="inlineStr">
        <is>
          <t>VARBERG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64767-2023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45281</v>
      </c>
      <c r="E161" s="1" t="n">
        <v>46311</v>
      </c>
      <c r="F161" t="inlineStr">
        <is>
          <t>HALLANDS LÄN</t>
        </is>
      </c>
      <c r="G161" t="inlineStr">
        <is>
          <t>VARBERG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46311</v>
      </c>
      <c r="F162" t="inlineStr">
        <is>
          <t>HALLANDS LÄN</t>
        </is>
      </c>
      <c r="G162" t="inlineStr">
        <is>
          <t>VARBERG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35018-2025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45851</v>
      </c>
      <c r="E163" s="1" t="n">
        <v>46311</v>
      </c>
      <c r="F163" t="inlineStr">
        <is>
          <t>HALLANDS LÄN</t>
        </is>
      </c>
      <c r="G163" t="inlineStr">
        <is>
          <t>VARBERG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45567</v>
      </c>
      <c r="E164" s="1" t="n">
        <v>46311</v>
      </c>
      <c r="F164" t="inlineStr">
        <is>
          <t>HALLANDS LÄN</t>
        </is>
      </c>
      <c r="G164" t="inlineStr">
        <is>
          <t>VARBERG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44981</v>
      </c>
      <c r="E165" s="1" t="n">
        <v>46311</v>
      </c>
      <c r="F165" t="inlineStr">
        <is>
          <t>HALLANDS LÄN</t>
        </is>
      </c>
      <c r="G165" t="inlineStr">
        <is>
          <t>VARBERG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45593</v>
      </c>
      <c r="E166" s="1" t="n">
        <v>46311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46311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46311</v>
      </c>
      <c r="F168" t="inlineStr">
        <is>
          <t>HALLANDS LÄN</t>
        </is>
      </c>
      <c r="G168" t="inlineStr">
        <is>
          <t>VARBERG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70040-2021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44533</v>
      </c>
      <c r="E169" s="1" t="n">
        <v>46311</v>
      </c>
      <c r="F169" t="inlineStr">
        <is>
          <t>HALLANDS LÄN</t>
        </is>
      </c>
      <c r="G169" t="inlineStr">
        <is>
          <t>VARBERG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46311</v>
      </c>
      <c r="F170" t="inlineStr">
        <is>
          <t>HALLANDS LÄN</t>
        </is>
      </c>
      <c r="G170" t="inlineStr">
        <is>
          <t>VARBERG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46311</v>
      </c>
      <c r="F171" t="inlineStr">
        <is>
          <t>HALLANDS LÄN</t>
        </is>
      </c>
      <c r="G171" t="inlineStr">
        <is>
          <t>VARBERG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45742</v>
      </c>
      <c r="E172" s="1" t="n">
        <v>46311</v>
      </c>
      <c r="F172" t="inlineStr">
        <is>
          <t>HALLANDS LÄN</t>
        </is>
      </c>
      <c r="G172" t="inlineStr">
        <is>
          <t>VARBERG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46311</v>
      </c>
      <c r="F173" t="inlineStr">
        <is>
          <t>HALLANDS LÄN</t>
        </is>
      </c>
      <c r="G173" t="inlineStr">
        <is>
          <t>VARBERG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46311</v>
      </c>
      <c r="F174" t="inlineStr">
        <is>
          <t>HALLANDS LÄN</t>
        </is>
      </c>
      <c r="G174" t="inlineStr">
        <is>
          <t>VARBERG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46311</v>
      </c>
      <c r="F175" t="inlineStr">
        <is>
          <t>HALLANDS LÄN</t>
        </is>
      </c>
      <c r="G175" t="inlineStr">
        <is>
          <t>VARBERG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44910</v>
      </c>
      <c r="E176" s="1" t="n">
        <v>46311</v>
      </c>
      <c r="F176" t="inlineStr">
        <is>
          <t>HALLANDS LÄN</t>
        </is>
      </c>
      <c r="G176" t="inlineStr">
        <is>
          <t>VARBERG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46311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46311</v>
      </c>
      <c r="F178" t="inlineStr">
        <is>
          <t>HALLANDS LÄN</t>
        </is>
      </c>
      <c r="G178" t="inlineStr">
        <is>
          <t>VARBERG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46311</v>
      </c>
      <c r="F179" t="inlineStr">
        <is>
          <t>HALLANDS LÄN</t>
        </is>
      </c>
      <c r="G179" t="inlineStr">
        <is>
          <t>VARBERG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46311</v>
      </c>
      <c r="F180" t="inlineStr">
        <is>
          <t>HALLANDS LÄN</t>
        </is>
      </c>
      <c r="G180" t="inlineStr">
        <is>
          <t>VARBERG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45422</v>
      </c>
      <c r="E181" s="1" t="n">
        <v>46311</v>
      </c>
      <c r="F181" t="inlineStr">
        <is>
          <t>HALLANDS LÄN</t>
        </is>
      </c>
      <c r="G181" t="inlineStr">
        <is>
          <t>VARBERG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46311</v>
      </c>
      <c r="F182" t="inlineStr">
        <is>
          <t>HALLANDS LÄN</t>
        </is>
      </c>
      <c r="G182" t="inlineStr">
        <is>
          <t>VARBERG</t>
        </is>
      </c>
      <c r="I182" t="n">
        <v>18.8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45434</v>
      </c>
      <c r="E183" s="1" t="n">
        <v>46311</v>
      </c>
      <c r="F183" t="inlineStr">
        <is>
          <t>HALLANDS LÄN</t>
        </is>
      </c>
      <c r="G183" t="inlineStr">
        <is>
          <t>VARBERG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45722</v>
      </c>
      <c r="E184" s="1" t="n">
        <v>46311</v>
      </c>
      <c r="F184" t="inlineStr">
        <is>
          <t>HALLANDS LÄN</t>
        </is>
      </c>
      <c r="G184" t="inlineStr">
        <is>
          <t>VARBERG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45487</v>
      </c>
      <c r="E185" s="1" t="n">
        <v>46311</v>
      </c>
      <c r="F185" t="inlineStr">
        <is>
          <t>HALLANDS LÄN</t>
        </is>
      </c>
      <c r="G185" t="inlineStr">
        <is>
          <t>VARBERG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46311</v>
      </c>
      <c r="F186" t="inlineStr">
        <is>
          <t>HALLANDS LÄN</t>
        </is>
      </c>
      <c r="G186" t="inlineStr">
        <is>
          <t>VARBERG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46311</v>
      </c>
      <c r="F187" t="inlineStr">
        <is>
          <t>HALLANDS LÄN</t>
        </is>
      </c>
      <c r="G187" t="inlineStr">
        <is>
          <t>VARBERG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46311</v>
      </c>
      <c r="F188" t="inlineStr">
        <is>
          <t>HALLANDS LÄN</t>
        </is>
      </c>
      <c r="G188" t="inlineStr">
        <is>
          <t>VARBERG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45086</v>
      </c>
      <c r="E189" s="1" t="n">
        <v>46311</v>
      </c>
      <c r="F189" t="inlineStr">
        <is>
          <t>HALLANDS LÄN</t>
        </is>
      </c>
      <c r="G189" t="inlineStr">
        <is>
          <t>VARBERG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46311</v>
      </c>
      <c r="F190" t="inlineStr">
        <is>
          <t>HALLANDS LÄN</t>
        </is>
      </c>
      <c r="G190" t="inlineStr">
        <is>
          <t>VARBERG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45392</v>
      </c>
      <c r="E191" s="1" t="n">
        <v>46311</v>
      </c>
      <c r="F191" t="inlineStr">
        <is>
          <t>HALLANDS LÄN</t>
        </is>
      </c>
      <c r="G191" t="inlineStr">
        <is>
          <t>VARBERG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46311</v>
      </c>
      <c r="F192" t="inlineStr">
        <is>
          <t>HALLANDS LÄN</t>
        </is>
      </c>
      <c r="G192" t="inlineStr">
        <is>
          <t>VARBERG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48065-2024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46311</v>
      </c>
      <c r="F193" t="inlineStr">
        <is>
          <t>HALLANDS LÄN</t>
        </is>
      </c>
      <c r="G193" t="inlineStr">
        <is>
          <t>VARBERG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19130-2026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46132</v>
      </c>
      <c r="E194" s="1" t="n">
        <v>46311</v>
      </c>
      <c r="F194" t="inlineStr">
        <is>
          <t>HALLANDS LÄN</t>
        </is>
      </c>
      <c r="G194" t="inlineStr">
        <is>
          <t>VARBERG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46311</v>
      </c>
      <c r="F195" t="inlineStr">
        <is>
          <t>HALLANDS LÄN</t>
        </is>
      </c>
      <c r="G195" t="inlineStr">
        <is>
          <t>VARBERG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8263-2023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44974</v>
      </c>
      <c r="E196" s="1" t="n">
        <v>46311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45487</v>
      </c>
      <c r="E197" s="1" t="n">
        <v>46311</v>
      </c>
      <c r="F197" t="inlineStr">
        <is>
          <t>HALLANDS LÄN</t>
        </is>
      </c>
      <c r="G197" t="inlineStr">
        <is>
          <t>VARBERG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46311</v>
      </c>
      <c r="F198" t="inlineStr">
        <is>
          <t>HALLANDS LÄN</t>
        </is>
      </c>
      <c r="G198" t="inlineStr">
        <is>
          <t>VARBERG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46311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10229-2023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44980</v>
      </c>
      <c r="E200" s="1" t="n">
        <v>46311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46311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46311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46311</v>
      </c>
      <c r="F203" t="inlineStr">
        <is>
          <t>HALLANDS LÄN</t>
        </is>
      </c>
      <c r="G203" t="inlineStr">
        <is>
          <t>VARBERG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45770</v>
      </c>
      <c r="E204" s="1" t="n">
        <v>46311</v>
      </c>
      <c r="F204" t="inlineStr">
        <is>
          <t>HALLANDS LÄN</t>
        </is>
      </c>
      <c r="G204" t="inlineStr">
        <is>
          <t>VARBERG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46311</v>
      </c>
      <c r="F205" t="inlineStr">
        <is>
          <t>HALLANDS LÄN</t>
        </is>
      </c>
      <c r="G205" t="inlineStr">
        <is>
          <t>VARBERG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45366</v>
      </c>
      <c r="E206" s="1" t="n">
        <v>46311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46311</v>
      </c>
      <c r="F207" t="inlineStr">
        <is>
          <t>HALLANDS LÄN</t>
        </is>
      </c>
      <c r="G207" t="inlineStr">
        <is>
          <t>VARBERG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45583</v>
      </c>
      <c r="E208" s="1" t="n">
        <v>46311</v>
      </c>
      <c r="F208" t="inlineStr">
        <is>
          <t>HALLANDS LÄN</t>
        </is>
      </c>
      <c r="G208" t="inlineStr">
        <is>
          <t>VARBERG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45638</v>
      </c>
      <c r="E209" s="1" t="n">
        <v>46311</v>
      </c>
      <c r="F209" t="inlineStr">
        <is>
          <t>HALLANDS LÄN</t>
        </is>
      </c>
      <c r="G209" t="inlineStr">
        <is>
          <t>VARBERG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45852</v>
      </c>
      <c r="E210" s="1" t="n">
        <v>46311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46311</v>
      </c>
      <c r="F211" t="inlineStr">
        <is>
          <t>HALLANDS LÄN</t>
        </is>
      </c>
      <c r="G211" t="inlineStr">
        <is>
          <t>VARBERG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46311</v>
      </c>
      <c r="F212" t="inlineStr">
        <is>
          <t>HALLANDS LÄN</t>
        </is>
      </c>
      <c r="G212" t="inlineStr">
        <is>
          <t>VARBERG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46311</v>
      </c>
      <c r="F213" t="inlineStr">
        <is>
          <t>HALLANDS LÄN</t>
        </is>
      </c>
      <c r="G213" t="inlineStr">
        <is>
          <t>VARBERG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46311</v>
      </c>
      <c r="F214" t="inlineStr">
        <is>
          <t>HALLANDS LÄN</t>
        </is>
      </c>
      <c r="G214" t="inlineStr">
        <is>
          <t>VARBERG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46311</v>
      </c>
      <c r="F215" t="inlineStr">
        <is>
          <t>HALLANDS LÄN</t>
        </is>
      </c>
      <c r="G215" t="inlineStr">
        <is>
          <t>VARBERG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46311</v>
      </c>
      <c r="F216" t="inlineStr">
        <is>
          <t>HALLANDS LÄN</t>
        </is>
      </c>
      <c r="G216" t="inlineStr">
        <is>
          <t>VARBERG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46311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45626-2024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46311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45554</v>
      </c>
      <c r="E219" s="1" t="n">
        <v>46311</v>
      </c>
      <c r="F219" t="inlineStr">
        <is>
          <t>HALLANDS LÄN</t>
        </is>
      </c>
      <c r="G219" t="inlineStr">
        <is>
          <t>VARBERG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45708</v>
      </c>
      <c r="E220" s="1" t="n">
        <v>46311</v>
      </c>
      <c r="F220" t="inlineStr">
        <is>
          <t>HALLANDS LÄN</t>
        </is>
      </c>
      <c r="G220" t="inlineStr">
        <is>
          <t>VARBERG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46311</v>
      </c>
      <c r="F221" t="inlineStr">
        <is>
          <t>HALLANDS LÄN</t>
        </is>
      </c>
      <c r="G221" t="inlineStr">
        <is>
          <t>VARBERG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43273-2025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45910</v>
      </c>
      <c r="E222" s="1" t="n">
        <v>46311</v>
      </c>
      <c r="F222" t="inlineStr">
        <is>
          <t>HALLANDS LÄN</t>
        </is>
      </c>
      <c r="G222" t="inlineStr">
        <is>
          <t>VARBERG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46311</v>
      </c>
      <c r="F223" t="inlineStr">
        <is>
          <t>HALLANDS LÄN</t>
        </is>
      </c>
      <c r="G223" t="inlineStr">
        <is>
          <t>VARBERG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46311</v>
      </c>
      <c r="F224" t="inlineStr">
        <is>
          <t>HALLANDS LÄN</t>
        </is>
      </c>
      <c r="G224" t="inlineStr">
        <is>
          <t>VARBERG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45477</v>
      </c>
      <c r="E225" s="1" t="n">
        <v>46311</v>
      </c>
      <c r="F225" t="inlineStr">
        <is>
          <t>HALLANDS LÄN</t>
        </is>
      </c>
      <c r="G225" t="inlineStr">
        <is>
          <t>VARBERG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45058</v>
      </c>
      <c r="E226" s="1" t="n">
        <v>46311</v>
      </c>
      <c r="F226" t="inlineStr">
        <is>
          <t>HALLANDS LÄN</t>
        </is>
      </c>
      <c r="G226" t="inlineStr">
        <is>
          <t>VARBERG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46311</v>
      </c>
      <c r="F227" t="inlineStr">
        <is>
          <t>HALLANDS LÄN</t>
        </is>
      </c>
      <c r="G227" t="inlineStr">
        <is>
          <t>VARBERG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45140</v>
      </c>
      <c r="E228" s="1" t="n">
        <v>46311</v>
      </c>
      <c r="F228" t="inlineStr">
        <is>
          <t>HALLANDS LÄN</t>
        </is>
      </c>
      <c r="G228" t="inlineStr">
        <is>
          <t>VARBERG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45131</v>
      </c>
      <c r="E229" s="1" t="n">
        <v>46311</v>
      </c>
      <c r="F229" t="inlineStr">
        <is>
          <t>HALLANDS LÄN</t>
        </is>
      </c>
      <c r="G229" t="inlineStr">
        <is>
          <t>VARBERG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46311</v>
      </c>
      <c r="F230" t="inlineStr">
        <is>
          <t>HALLANDS LÄN</t>
        </is>
      </c>
      <c r="G230" t="inlineStr">
        <is>
          <t>VARBERG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46311</v>
      </c>
      <c r="F231" t="inlineStr">
        <is>
          <t>HALLANDS LÄN</t>
        </is>
      </c>
      <c r="G231" t="inlineStr">
        <is>
          <t>VARBERG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46311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61075-2023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45261</v>
      </c>
      <c r="E233" s="1" t="n">
        <v>46311</v>
      </c>
      <c r="F233" t="inlineStr">
        <is>
          <t>HALLANDS LÄN</t>
        </is>
      </c>
      <c r="G233" t="inlineStr">
        <is>
          <t>VARBERG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27286-2023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46311</v>
      </c>
      <c r="F234" t="inlineStr">
        <is>
          <t>HALLANDS LÄN</t>
        </is>
      </c>
      <c r="G234" t="inlineStr">
        <is>
          <t>VARBERG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44649</v>
      </c>
      <c r="E235" s="1" t="n">
        <v>46311</v>
      </c>
      <c r="F235" t="inlineStr">
        <is>
          <t>HALLANDS LÄN</t>
        </is>
      </c>
      <c r="G235" t="inlineStr">
        <is>
          <t>VARBERG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46311</v>
      </c>
      <c r="F236" t="inlineStr">
        <is>
          <t>HALLANDS LÄN</t>
        </is>
      </c>
      <c r="G236" t="inlineStr">
        <is>
          <t>VARBERG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46311</v>
      </c>
      <c r="F237" t="inlineStr">
        <is>
          <t>HALLANDS LÄN</t>
        </is>
      </c>
      <c r="G237" t="inlineStr">
        <is>
          <t>VARBERG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45177</v>
      </c>
      <c r="E238" s="1" t="n">
        <v>46311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46311</v>
      </c>
      <c r="F239" t="inlineStr">
        <is>
          <t>HALLANDS LÄN</t>
        </is>
      </c>
      <c r="G239" t="inlineStr">
        <is>
          <t>VARBERG</t>
        </is>
      </c>
      <c r="H239" t="inlineStr">
        <is>
          <t>Kyrkan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46311</v>
      </c>
      <c r="F240" t="inlineStr">
        <is>
          <t>HALLANDS LÄN</t>
        </is>
      </c>
      <c r="G240" t="inlineStr">
        <is>
          <t>VARBERG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46311</v>
      </c>
      <c r="F241" t="inlineStr">
        <is>
          <t>HALLANDS LÄN</t>
        </is>
      </c>
      <c r="G241" t="inlineStr">
        <is>
          <t>VARBERG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13799-2022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44649</v>
      </c>
      <c r="E242" s="1" t="n">
        <v>46311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44649</v>
      </c>
      <c r="E243" s="1" t="n">
        <v>46311</v>
      </c>
      <c r="F243" t="inlineStr">
        <is>
          <t>HALLANDS LÄN</t>
        </is>
      </c>
      <c r="G243" t="inlineStr">
        <is>
          <t>VARBERG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46311</v>
      </c>
      <c r="F244" t="inlineStr">
        <is>
          <t>HALLANDS LÄN</t>
        </is>
      </c>
      <c r="G244" t="inlineStr">
        <is>
          <t>VARBERG</t>
        </is>
      </c>
      <c r="I244" t="n">
        <v>11.8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46913-2025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46311</v>
      </c>
      <c r="F245" t="inlineStr">
        <is>
          <t>HALLANDS LÄN</t>
        </is>
      </c>
      <c r="G245" t="inlineStr">
        <is>
          <t>VARBERG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46311</v>
      </c>
      <c r="F246" t="inlineStr">
        <is>
          <t>HALLANDS LÄN</t>
        </is>
      </c>
      <c r="G246" t="inlineStr">
        <is>
          <t>VARBERG</t>
        </is>
      </c>
      <c r="H246" t="inlineStr">
        <is>
          <t>Övriga statliga verk och myndigheter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46311</v>
      </c>
      <c r="F247" t="inlineStr">
        <is>
          <t>HALLANDS LÄN</t>
        </is>
      </c>
      <c r="G247" t="inlineStr">
        <is>
          <t>VARBERG</t>
        </is>
      </c>
      <c r="H247" t="inlineStr">
        <is>
          <t>Övriga statliga verk och myndigheter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44644</v>
      </c>
      <c r="E248" s="1" t="n">
        <v>46311</v>
      </c>
      <c r="F248" t="inlineStr">
        <is>
          <t>HALLANDS LÄN</t>
        </is>
      </c>
      <c r="G248" t="inlineStr">
        <is>
          <t>VARBERG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45197</v>
      </c>
      <c r="E249" s="1" t="n">
        <v>46311</v>
      </c>
      <c r="F249" t="inlineStr">
        <is>
          <t>HALLANDS LÄN</t>
        </is>
      </c>
      <c r="G249" t="inlineStr">
        <is>
          <t>VARBERG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46311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46311</v>
      </c>
      <c r="F251" t="inlineStr">
        <is>
          <t>HALLANDS LÄN</t>
        </is>
      </c>
      <c r="G251" t="inlineStr">
        <is>
          <t>VARBERG</t>
        </is>
      </c>
      <c r="H251" t="inlineStr">
        <is>
          <t>Kyrkan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46311</v>
      </c>
      <c r="F252" t="inlineStr">
        <is>
          <t>HALLANDS LÄN</t>
        </is>
      </c>
      <c r="G252" t="inlineStr">
        <is>
          <t>VARBERG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46311</v>
      </c>
      <c r="F253" t="inlineStr">
        <is>
          <t>HALLANDS LÄN</t>
        </is>
      </c>
      <c r="G253" t="inlineStr">
        <is>
          <t>VARBERG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45700</v>
      </c>
      <c r="E254" s="1" t="n">
        <v>46311</v>
      </c>
      <c r="F254" t="inlineStr">
        <is>
          <t>HALLANDS LÄN</t>
        </is>
      </c>
      <c r="G254" t="inlineStr">
        <is>
          <t>VARBERG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46311</v>
      </c>
      <c r="F255" t="inlineStr">
        <is>
          <t>HALLANDS LÄN</t>
        </is>
      </c>
      <c r="G255" t="inlineStr">
        <is>
          <t>VARBERG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46311</v>
      </c>
      <c r="F256" t="inlineStr">
        <is>
          <t>HALLANDS LÄN</t>
        </is>
      </c>
      <c r="G256" t="inlineStr">
        <is>
          <t>VARBERG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46311</v>
      </c>
      <c r="F257" t="inlineStr">
        <is>
          <t>HALLANDS LÄN</t>
        </is>
      </c>
      <c r="G257" t="inlineStr">
        <is>
          <t>VARBERG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46311</v>
      </c>
      <c r="F258" t="inlineStr">
        <is>
          <t>HALLANDS LÄN</t>
        </is>
      </c>
      <c r="G258" t="inlineStr">
        <is>
          <t>VARBERG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45743</v>
      </c>
      <c r="E259" s="1" t="n">
        <v>46311</v>
      </c>
      <c r="F259" t="inlineStr">
        <is>
          <t>HALLANDS LÄN</t>
        </is>
      </c>
      <c r="G259" t="inlineStr">
        <is>
          <t>VARBERG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7836-2025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46311</v>
      </c>
      <c r="F260" t="inlineStr">
        <is>
          <t>HALLANDS LÄN</t>
        </is>
      </c>
      <c r="G260" t="inlineStr">
        <is>
          <t>VARBERG</t>
        </is>
      </c>
      <c r="H260" t="inlineStr">
        <is>
          <t>Övriga statliga verk och myndigheter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46311</v>
      </c>
      <c r="F261" t="inlineStr">
        <is>
          <t>HALLANDS LÄN</t>
        </is>
      </c>
      <c r="G261" t="inlineStr">
        <is>
          <t>VARBERG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45328</v>
      </c>
      <c r="E262" s="1" t="n">
        <v>46311</v>
      </c>
      <c r="F262" t="inlineStr">
        <is>
          <t>HALLANDS LÄN</t>
        </is>
      </c>
      <c r="G262" t="inlineStr">
        <is>
          <t>VARBERG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45397</v>
      </c>
      <c r="E263" s="1" t="n">
        <v>46311</v>
      </c>
      <c r="F263" t="inlineStr">
        <is>
          <t>HALLANDS LÄN</t>
        </is>
      </c>
      <c r="G263" t="inlineStr">
        <is>
          <t>VARBERG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44970</v>
      </c>
      <c r="E264" s="1" t="n">
        <v>46311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46311</v>
      </c>
      <c r="F265" t="inlineStr">
        <is>
          <t>HALLANDS LÄN</t>
        </is>
      </c>
      <c r="G265" t="inlineStr">
        <is>
          <t>VARBERG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37875-2025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45881</v>
      </c>
      <c r="E266" s="1" t="n">
        <v>46311</v>
      </c>
      <c r="F266" t="inlineStr">
        <is>
          <t>HALLANDS LÄN</t>
        </is>
      </c>
      <c r="G266" t="inlineStr">
        <is>
          <t>VARBERG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45513</v>
      </c>
      <c r="E267" s="1" t="n">
        <v>46311</v>
      </c>
      <c r="F267" t="inlineStr">
        <is>
          <t>HALLANDS LÄN</t>
        </is>
      </c>
      <c r="G267" t="inlineStr">
        <is>
          <t>VARBERG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45717</v>
      </c>
      <c r="E268" s="1" t="n">
        <v>46311</v>
      </c>
      <c r="F268" t="inlineStr">
        <is>
          <t>HALLANDS LÄN</t>
        </is>
      </c>
      <c r="G268" t="inlineStr">
        <is>
          <t>VARBERG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46311</v>
      </c>
      <c r="F269" t="inlineStr">
        <is>
          <t>HALLANDS LÄN</t>
        </is>
      </c>
      <c r="G269" t="inlineStr">
        <is>
          <t>VARBERG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46311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45313</v>
      </c>
      <c r="E271" s="1" t="n">
        <v>46311</v>
      </c>
      <c r="F271" t="inlineStr">
        <is>
          <t>HALLANDS LÄN</t>
        </is>
      </c>
      <c r="G271" t="inlineStr">
        <is>
          <t>VARBERG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45722</v>
      </c>
      <c r="E272" s="1" t="n">
        <v>46311</v>
      </c>
      <c r="F272" t="inlineStr">
        <is>
          <t>HALLANDS LÄN</t>
        </is>
      </c>
      <c r="G272" t="inlineStr">
        <is>
          <t>VARBERG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46311</v>
      </c>
      <c r="F273" t="inlineStr">
        <is>
          <t>HALLANDS LÄN</t>
        </is>
      </c>
      <c r="G273" t="inlineStr">
        <is>
          <t>VARBERG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46311</v>
      </c>
      <c r="F274" t="inlineStr">
        <is>
          <t>HALLANDS LÄN</t>
        </is>
      </c>
      <c r="G274" t="inlineStr">
        <is>
          <t>VARBERG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46771-2022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44851</v>
      </c>
      <c r="E275" s="1" t="n">
        <v>46311</v>
      </c>
      <c r="F275" t="inlineStr">
        <is>
          <t>HALLANDS LÄN</t>
        </is>
      </c>
      <c r="G275" t="inlineStr">
        <is>
          <t>VARBERG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46161</v>
      </c>
      <c r="E276" s="1" t="n">
        <v>46311</v>
      </c>
      <c r="F276" t="inlineStr">
        <is>
          <t>HALLANDS LÄN</t>
        </is>
      </c>
      <c r="G276" t="inlineStr">
        <is>
          <t>VARBERG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46311</v>
      </c>
      <c r="F277" t="inlineStr">
        <is>
          <t>HALLANDS LÄN</t>
        </is>
      </c>
      <c r="G277" t="inlineStr">
        <is>
          <t>VARBERG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46311</v>
      </c>
      <c r="F278" t="inlineStr">
        <is>
          <t>HALLANDS LÄN</t>
        </is>
      </c>
      <c r="G278" t="inlineStr">
        <is>
          <t>VARBERG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45272</v>
      </c>
      <c r="E279" s="1" t="n">
        <v>46311</v>
      </c>
      <c r="F279" t="inlineStr">
        <is>
          <t>HALLANDS LÄN</t>
        </is>
      </c>
      <c r="G279" t="inlineStr">
        <is>
          <t>VARBERG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46164</v>
      </c>
      <c r="E280" s="1" t="n">
        <v>46311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45590</v>
      </c>
      <c r="E281" s="1" t="n">
        <v>46311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46311</v>
      </c>
      <c r="F282" t="inlineStr">
        <is>
          <t>HALLANDS LÄN</t>
        </is>
      </c>
      <c r="G282" t="inlineStr">
        <is>
          <t>VARBERG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45580</v>
      </c>
      <c r="E283" s="1" t="n">
        <v>46311</v>
      </c>
      <c r="F283" t="inlineStr">
        <is>
          <t>HALLANDS LÄN</t>
        </is>
      </c>
      <c r="G283" t="inlineStr">
        <is>
          <t>VARBERG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46311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45259</v>
      </c>
      <c r="E285" s="1" t="n">
        <v>46311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46168</v>
      </c>
      <c r="E286" s="1" t="n">
        <v>46311</v>
      </c>
      <c r="F286" t="inlineStr">
        <is>
          <t>HALLANDS LÄN</t>
        </is>
      </c>
      <c r="G286" t="inlineStr">
        <is>
          <t>VARBERG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46311</v>
      </c>
      <c r="F287" t="inlineStr">
        <is>
          <t>HALLANDS LÄN</t>
        </is>
      </c>
      <c r="G287" t="inlineStr">
        <is>
          <t>VARBERG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46311</v>
      </c>
      <c r="F288" t="inlineStr">
        <is>
          <t>HALLANDS LÄN</t>
        </is>
      </c>
      <c r="G288" t="inlineStr">
        <is>
          <t>VARBERG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46943-2025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46311</v>
      </c>
      <c r="F289" t="inlineStr">
        <is>
          <t>HALLANDS LÄN</t>
        </is>
      </c>
      <c r="G289" t="inlineStr">
        <is>
          <t>VARBERG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46311</v>
      </c>
      <c r="F290" t="inlineStr">
        <is>
          <t>HALLANDS LÄN</t>
        </is>
      </c>
      <c r="G290" t="inlineStr">
        <is>
          <t>VARBERG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46311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46311</v>
      </c>
      <c r="F292" t="inlineStr">
        <is>
          <t>HALLANDS LÄN</t>
        </is>
      </c>
      <c r="G292" t="inlineStr">
        <is>
          <t>VARBERG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46311</v>
      </c>
      <c r="F293" t="inlineStr">
        <is>
          <t>HALLANDS LÄN</t>
        </is>
      </c>
      <c r="G293" t="inlineStr">
        <is>
          <t>VARBERG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46311</v>
      </c>
      <c r="F294" t="inlineStr">
        <is>
          <t>HALLANDS LÄN</t>
        </is>
      </c>
      <c r="G294" t="inlineStr">
        <is>
          <t>VARBERG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46311</v>
      </c>
      <c r="F295" t="inlineStr">
        <is>
          <t>HALLANDS LÄN</t>
        </is>
      </c>
      <c r="G295" t="inlineStr">
        <is>
          <t>VARBERG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45720</v>
      </c>
      <c r="E296" s="1" t="n">
        <v>46311</v>
      </c>
      <c r="F296" t="inlineStr">
        <is>
          <t>HALLANDS LÄN</t>
        </is>
      </c>
      <c r="G296" t="inlineStr">
        <is>
          <t>VARBERG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46311</v>
      </c>
      <c r="F297" t="inlineStr">
        <is>
          <t>HALLANDS LÄN</t>
        </is>
      </c>
      <c r="G297" t="inlineStr">
        <is>
          <t>VARBERG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15260-2024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46311</v>
      </c>
      <c r="F298" t="inlineStr">
        <is>
          <t>HALLANDS LÄN</t>
        </is>
      </c>
      <c r="G298" t="inlineStr">
        <is>
          <t>VARBERG</t>
        </is>
      </c>
      <c r="H298" t="inlineStr">
        <is>
          <t>Kyrkan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10186-2022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44622</v>
      </c>
      <c r="E299" s="1" t="n">
        <v>46311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9819-2022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44620</v>
      </c>
      <c r="E300" s="1" t="n">
        <v>46311</v>
      </c>
      <c r="F300" t="inlineStr">
        <is>
          <t>HALLANDS LÄN</t>
        </is>
      </c>
      <c r="G300" t="inlineStr">
        <is>
          <t>VARBERG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46311</v>
      </c>
      <c r="F301" t="inlineStr">
        <is>
          <t>HALLANDS LÄN</t>
        </is>
      </c>
      <c r="G301" t="inlineStr">
        <is>
          <t>VARBERG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46311</v>
      </c>
      <c r="F302" t="inlineStr">
        <is>
          <t>HALLANDS LÄN</t>
        </is>
      </c>
      <c r="G302" t="inlineStr">
        <is>
          <t>VARBERG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46311</v>
      </c>
      <c r="F303" t="inlineStr">
        <is>
          <t>HALLANDS LÄN</t>
        </is>
      </c>
      <c r="G303" t="inlineStr">
        <is>
          <t>VARBERG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48019-2022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44855</v>
      </c>
      <c r="E304" s="1" t="n">
        <v>46311</v>
      </c>
      <c r="F304" t="inlineStr">
        <is>
          <t>HALLANDS LÄN</t>
        </is>
      </c>
      <c r="G304" t="inlineStr">
        <is>
          <t>VARBERG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46311</v>
      </c>
      <c r="F305" t="inlineStr">
        <is>
          <t>HALLANDS LÄN</t>
        </is>
      </c>
      <c r="G305" t="inlineStr">
        <is>
          <t>VARBERG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46182</v>
      </c>
      <c r="E306" s="1" t="n">
        <v>46311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31198-2022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44770</v>
      </c>
      <c r="E307" s="1" t="n">
        <v>46311</v>
      </c>
      <c r="F307" t="inlineStr">
        <is>
          <t>HALLANDS LÄN</t>
        </is>
      </c>
      <c r="G307" t="inlineStr">
        <is>
          <t>VARBERG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46311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46311</v>
      </c>
      <c r="F309" t="inlineStr">
        <is>
          <t>HALLANDS LÄN</t>
        </is>
      </c>
      <c r="G309" t="inlineStr">
        <is>
          <t>VARBERG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46311</v>
      </c>
      <c r="F310" t="inlineStr">
        <is>
          <t>HALLANDS LÄN</t>
        </is>
      </c>
      <c r="G310" t="inlineStr">
        <is>
          <t>VARBERG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46311</v>
      </c>
      <c r="F311" t="inlineStr">
        <is>
          <t>HALLANDS LÄN</t>
        </is>
      </c>
      <c r="G311" t="inlineStr">
        <is>
          <t>VARBERG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45014</v>
      </c>
      <c r="E312" s="1" t="n">
        <v>46311</v>
      </c>
      <c r="F312" t="inlineStr">
        <is>
          <t>HALLANDS LÄN</t>
        </is>
      </c>
      <c r="G312" t="inlineStr">
        <is>
          <t>VARBERG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46311</v>
      </c>
      <c r="F313" t="inlineStr">
        <is>
          <t>HALLANDS LÄN</t>
        </is>
      </c>
      <c r="G313" t="inlineStr">
        <is>
          <t>VARBERG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46311</v>
      </c>
      <c r="F314" t="inlineStr">
        <is>
          <t>HALLANDS LÄN</t>
        </is>
      </c>
      <c r="G314" t="inlineStr">
        <is>
          <t>VARBERG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55038-2022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46311</v>
      </c>
      <c r="F315" t="inlineStr">
        <is>
          <t>HALLANDS LÄN</t>
        </is>
      </c>
      <c r="G315" t="inlineStr">
        <is>
          <t>VARBERG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46311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14536-2023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45013</v>
      </c>
      <c r="E317" s="1" t="n">
        <v>46311</v>
      </c>
      <c r="F317" t="inlineStr">
        <is>
          <t>HALLANDS LÄN</t>
        </is>
      </c>
      <c r="G317" t="inlineStr">
        <is>
          <t>VARBERG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46311</v>
      </c>
      <c r="F318" t="inlineStr">
        <is>
          <t>HALLANDS LÄN</t>
        </is>
      </c>
      <c r="G318" t="inlineStr">
        <is>
          <t>VARBERG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46311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44797</v>
      </c>
      <c r="E320" s="1" t="n">
        <v>46311</v>
      </c>
      <c r="F320" t="inlineStr">
        <is>
          <t>HALLANDS LÄN</t>
        </is>
      </c>
      <c r="G320" t="inlineStr">
        <is>
          <t>VARBERG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46311</v>
      </c>
      <c r="F321" t="inlineStr">
        <is>
          <t>HALLANDS LÄN</t>
        </is>
      </c>
      <c r="G321" t="inlineStr">
        <is>
          <t>VARBERG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44981</v>
      </c>
      <c r="E322" s="1" t="n">
        <v>46311</v>
      </c>
      <c r="F322" t="inlineStr">
        <is>
          <t>HALLANDS LÄN</t>
        </is>
      </c>
      <c r="G322" t="inlineStr">
        <is>
          <t>VARBERG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46311</v>
      </c>
      <c r="F323" t="inlineStr">
        <is>
          <t>HALLANDS LÄN</t>
        </is>
      </c>
      <c r="G323" t="inlineStr">
        <is>
          <t>VARBERG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46311</v>
      </c>
      <c r="F324" t="inlineStr">
        <is>
          <t>HALLANDS LÄN</t>
        </is>
      </c>
      <c r="G324" t="inlineStr">
        <is>
          <t>VARBERG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46311</v>
      </c>
      <c r="F325" t="inlineStr">
        <is>
          <t>HALLANDS LÄN</t>
        </is>
      </c>
      <c r="G325" t="inlineStr">
        <is>
          <t>VARBERG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45582</v>
      </c>
      <c r="E326" s="1" t="n">
        <v>46311</v>
      </c>
      <c r="F326" t="inlineStr">
        <is>
          <t>HALLANDS LÄN</t>
        </is>
      </c>
      <c r="G326" t="inlineStr">
        <is>
          <t>VARBERG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46311</v>
      </c>
      <c r="F327" t="inlineStr">
        <is>
          <t>HALLANDS LÄN</t>
        </is>
      </c>
      <c r="G327" t="inlineStr">
        <is>
          <t>VARBERG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46311</v>
      </c>
      <c r="F328" t="inlineStr">
        <is>
          <t>HALLANDS LÄN</t>
        </is>
      </c>
      <c r="G328" t="inlineStr">
        <is>
          <t>VARBERG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20624-2026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46311</v>
      </c>
      <c r="F329" t="inlineStr">
        <is>
          <t>HALLANDS LÄN</t>
        </is>
      </c>
      <c r="G329" t="inlineStr">
        <is>
          <t>VARBERG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46311</v>
      </c>
      <c r="F330" t="inlineStr">
        <is>
          <t>HALLANDS LÄN</t>
        </is>
      </c>
      <c r="G330" t="inlineStr">
        <is>
          <t>VARBERG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46311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46311</v>
      </c>
      <c r="F332" t="inlineStr">
        <is>
          <t>HALLANDS LÄN</t>
        </is>
      </c>
      <c r="G332" t="inlineStr">
        <is>
          <t>VARBERG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46311</v>
      </c>
      <c r="F333" t="inlineStr">
        <is>
          <t>HALLANDS LÄN</t>
        </is>
      </c>
      <c r="G333" t="inlineStr">
        <is>
          <t>VARBERG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44628</v>
      </c>
      <c r="E334" s="1" t="n">
        <v>46311</v>
      </c>
      <c r="F334" t="inlineStr">
        <is>
          <t>HALLANDS LÄN</t>
        </is>
      </c>
      <c r="G334" t="inlineStr">
        <is>
          <t>VARBERG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46311</v>
      </c>
      <c r="F335" t="inlineStr">
        <is>
          <t>HALLANDS LÄN</t>
        </is>
      </c>
      <c r="G335" t="inlineStr">
        <is>
          <t>VARBERG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46311</v>
      </c>
      <c r="F336" t="inlineStr">
        <is>
          <t>HALLANDS LÄN</t>
        </is>
      </c>
      <c r="G336" t="inlineStr">
        <is>
          <t>VARBERG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50465-2025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46311</v>
      </c>
      <c r="F337" t="inlineStr">
        <is>
          <t>HALLANDS LÄN</t>
        </is>
      </c>
      <c r="G337" t="inlineStr">
        <is>
          <t>VARBERG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44981</v>
      </c>
      <c r="E338" s="1" t="n">
        <v>46311</v>
      </c>
      <c r="F338" t="inlineStr">
        <is>
          <t>HALLANDS LÄN</t>
        </is>
      </c>
      <c r="G338" t="inlineStr">
        <is>
          <t>VARBERG</t>
        </is>
      </c>
      <c r="I338" t="n">
        <v>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64488-2021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44511</v>
      </c>
      <c r="E339" s="1" t="n">
        <v>46311</v>
      </c>
      <c r="F339" t="inlineStr">
        <is>
          <t>HALLANDS LÄN</t>
        </is>
      </c>
      <c r="G339" t="inlineStr">
        <is>
          <t>VARBERG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46311</v>
      </c>
      <c r="F340" t="inlineStr">
        <is>
          <t>HALLANDS LÄN</t>
        </is>
      </c>
      <c r="G340" t="inlineStr">
        <is>
          <t>VARBERG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45734</v>
      </c>
      <c r="E341" s="1" t="n">
        <v>46311</v>
      </c>
      <c r="F341" t="inlineStr">
        <is>
          <t>HALLANDS LÄN</t>
        </is>
      </c>
      <c r="G341" t="inlineStr">
        <is>
          <t>VARBERG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45952</v>
      </c>
      <c r="E342" s="1" t="n">
        <v>46311</v>
      </c>
      <c r="F342" t="inlineStr">
        <is>
          <t>HALLANDS LÄN</t>
        </is>
      </c>
      <c r="G342" t="inlineStr">
        <is>
          <t>VARBERG</t>
        </is>
      </c>
      <c r="H342" t="inlineStr">
        <is>
          <t>Kyrkan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46311</v>
      </c>
      <c r="F343" t="inlineStr">
        <is>
          <t>HALLANDS LÄN</t>
        </is>
      </c>
      <c r="G343" t="inlineStr">
        <is>
          <t>VARBERG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45574</v>
      </c>
      <c r="E344" s="1" t="n">
        <v>46311</v>
      </c>
      <c r="F344" t="inlineStr">
        <is>
          <t>HALLANDS LÄN</t>
        </is>
      </c>
      <c r="G344" t="inlineStr">
        <is>
          <t>VARBERG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45058</v>
      </c>
      <c r="E345" s="1" t="n">
        <v>46311</v>
      </c>
      <c r="F345" t="inlineStr">
        <is>
          <t>HALLANDS LÄN</t>
        </is>
      </c>
      <c r="G345" t="inlineStr">
        <is>
          <t>VARBERG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46311</v>
      </c>
      <c r="F346" t="inlineStr">
        <is>
          <t>HALLANDS LÄN</t>
        </is>
      </c>
      <c r="G346" t="inlineStr">
        <is>
          <t>VARBERG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46311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46311</v>
      </c>
      <c r="F348" t="inlineStr">
        <is>
          <t>HALLANDS LÄN</t>
        </is>
      </c>
      <c r="G348" t="inlineStr">
        <is>
          <t>VARBERG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46311</v>
      </c>
      <c r="F349" t="inlineStr">
        <is>
          <t>HALLANDS LÄN</t>
        </is>
      </c>
      <c r="G349" t="inlineStr">
        <is>
          <t>VARBERG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46311</v>
      </c>
      <c r="F350" t="inlineStr">
        <is>
          <t>HALLANDS LÄN</t>
        </is>
      </c>
      <c r="G350" t="inlineStr">
        <is>
          <t>VARBERG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46210</v>
      </c>
      <c r="E351" s="1" t="n">
        <v>46311</v>
      </c>
      <c r="F351" t="inlineStr">
        <is>
          <t>HALLANDS LÄN</t>
        </is>
      </c>
      <c r="G351" t="inlineStr">
        <is>
          <t>VARBERG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46311</v>
      </c>
      <c r="F352" t="inlineStr">
        <is>
          <t>HALLANDS LÄN</t>
        </is>
      </c>
      <c r="G352" t="inlineStr">
        <is>
          <t>VARBERG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45587</v>
      </c>
      <c r="E353" s="1" t="n">
        <v>46311</v>
      </c>
      <c r="F353" t="inlineStr">
        <is>
          <t>HALLANDS LÄN</t>
        </is>
      </c>
      <c r="G353" t="inlineStr">
        <is>
          <t>VARBERG</t>
        </is>
      </c>
      <c r="H353" t="inlineStr">
        <is>
          <t>Kyrkan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46311</v>
      </c>
      <c r="F354" t="inlineStr">
        <is>
          <t>HALLANDS LÄN</t>
        </is>
      </c>
      <c r="G354" t="inlineStr">
        <is>
          <t>VARBERG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51932-2024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45607</v>
      </c>
      <c r="E355" s="1" t="n">
        <v>46311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9614-2024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45361</v>
      </c>
      <c r="E356" s="1" t="n">
        <v>46311</v>
      </c>
      <c r="F356" t="inlineStr">
        <is>
          <t>HALLANDS LÄN</t>
        </is>
      </c>
      <c r="G356" t="inlineStr">
        <is>
          <t>VARBERG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46311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46311</v>
      </c>
      <c r="F358" t="inlineStr">
        <is>
          <t>HALLANDS LÄN</t>
        </is>
      </c>
      <c r="G358" t="inlineStr">
        <is>
          <t>VARBERG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45960</v>
      </c>
      <c r="E359" s="1" t="n">
        <v>46311</v>
      </c>
      <c r="F359" t="inlineStr">
        <is>
          <t>HALLANDS LÄN</t>
        </is>
      </c>
      <c r="G359" t="inlineStr">
        <is>
          <t>VARBERG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12743-2022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44641</v>
      </c>
      <c r="E360" s="1" t="n">
        <v>46311</v>
      </c>
      <c r="F360" t="inlineStr">
        <is>
          <t>HALLANDS LÄN</t>
        </is>
      </c>
      <c r="G360" t="inlineStr">
        <is>
          <t>VARBERG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46311</v>
      </c>
      <c r="F361" t="inlineStr">
        <is>
          <t>HALLANDS LÄN</t>
        </is>
      </c>
      <c r="G361" t="inlineStr">
        <is>
          <t>VARBERG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46311</v>
      </c>
      <c r="F362" t="inlineStr">
        <is>
          <t>HALLANDS LÄN</t>
        </is>
      </c>
      <c r="G362" t="inlineStr">
        <is>
          <t>VARBERG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46311</v>
      </c>
      <c r="F363" t="inlineStr">
        <is>
          <t>HALLANDS LÄN</t>
        </is>
      </c>
      <c r="G363" t="inlineStr">
        <is>
          <t>VARBERG</t>
        </is>
      </c>
      <c r="I363" t="n">
        <v>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45665</v>
      </c>
      <c r="E364" s="1" t="n">
        <v>46311</v>
      </c>
      <c r="F364" t="inlineStr">
        <is>
          <t>HALLANDS LÄN</t>
        </is>
      </c>
      <c r="G364" t="inlineStr">
        <is>
          <t>VARBERG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46269</v>
      </c>
      <c r="E365" s="1" t="n">
        <v>46311</v>
      </c>
      <c r="F365" t="inlineStr">
        <is>
          <t>HALLANDS LÄN</t>
        </is>
      </c>
      <c r="G365" t="inlineStr">
        <is>
          <t>VARBERG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46311</v>
      </c>
      <c r="F366" t="inlineStr">
        <is>
          <t>HALLANDS LÄN</t>
        </is>
      </c>
      <c r="G366" t="inlineStr">
        <is>
          <t>VARBERG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46311</v>
      </c>
      <c r="F367" t="inlineStr">
        <is>
          <t>HALLANDS LÄN</t>
        </is>
      </c>
      <c r="G367" t="inlineStr">
        <is>
          <t>VARBERG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46311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37065-2024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45539</v>
      </c>
      <c r="E369" s="1" t="n">
        <v>46311</v>
      </c>
      <c r="F369" t="inlineStr">
        <is>
          <t>HALLANDS LÄN</t>
        </is>
      </c>
      <c r="G369" t="inlineStr">
        <is>
          <t>VARBERG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52975-2022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44875</v>
      </c>
      <c r="E370" s="1" t="n">
        <v>46311</v>
      </c>
      <c r="F370" t="inlineStr">
        <is>
          <t>HALLANDS LÄN</t>
        </is>
      </c>
      <c r="G370" t="inlineStr">
        <is>
          <t>VARBERG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45224</v>
      </c>
      <c r="E371" s="1" t="n">
        <v>46311</v>
      </c>
      <c r="F371" t="inlineStr">
        <is>
          <t>HALLANDS LÄN</t>
        </is>
      </c>
      <c r="G371" t="inlineStr">
        <is>
          <t>VARBERG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14312-2022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44652</v>
      </c>
      <c r="E372" s="1" t="n">
        <v>46311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46234</v>
      </c>
      <c r="E373" s="1" t="n">
        <v>46311</v>
      </c>
      <c r="F373" t="inlineStr">
        <is>
          <t>HALLANDS LÄN</t>
        </is>
      </c>
      <c r="G373" t="inlineStr">
        <is>
          <t>VARBERG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46311</v>
      </c>
      <c r="F374" t="inlineStr">
        <is>
          <t>HALLANDS LÄN</t>
        </is>
      </c>
      <c r="G374" t="inlineStr">
        <is>
          <t>VARBERG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45762</v>
      </c>
      <c r="E375" s="1" t="n">
        <v>46311</v>
      </c>
      <c r="F375" t="inlineStr">
        <is>
          <t>HALLANDS LÄN</t>
        </is>
      </c>
      <c r="G375" t="inlineStr">
        <is>
          <t>VARBERG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46311</v>
      </c>
      <c r="F376" t="inlineStr">
        <is>
          <t>HALLANDS LÄN</t>
        </is>
      </c>
      <c r="G376" t="inlineStr">
        <is>
          <t>VARBERG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45665</v>
      </c>
      <c r="E377" s="1" t="n">
        <v>46311</v>
      </c>
      <c r="F377" t="inlineStr">
        <is>
          <t>HALLANDS LÄN</t>
        </is>
      </c>
      <c r="G377" t="inlineStr">
        <is>
          <t>VARBERG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46311</v>
      </c>
      <c r="F378" t="inlineStr">
        <is>
          <t>HALLANDS LÄN</t>
        </is>
      </c>
      <c r="G378" t="inlineStr">
        <is>
          <t>VARBERG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45678</v>
      </c>
      <c r="E379" s="1" t="n">
        <v>46311</v>
      </c>
      <c r="F379" t="inlineStr">
        <is>
          <t>HALLANDS LÄN</t>
        </is>
      </c>
      <c r="G379" t="inlineStr">
        <is>
          <t>VARBERG</t>
        </is>
      </c>
      <c r="H379" t="inlineStr">
        <is>
          <t>Kyrkan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44935</v>
      </c>
      <c r="E380" s="1" t="n">
        <v>46311</v>
      </c>
      <c r="F380" t="inlineStr">
        <is>
          <t>HALLANDS LÄN</t>
        </is>
      </c>
      <c r="G380" t="inlineStr">
        <is>
          <t>VARBERG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46280</v>
      </c>
      <c r="E381" s="1" t="n">
        <v>46311</v>
      </c>
      <c r="F381" t="inlineStr">
        <is>
          <t>HALLANDS LÄN</t>
        </is>
      </c>
      <c r="G381" t="inlineStr">
        <is>
          <t>VARBERG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36424-2026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46269</v>
      </c>
      <c r="E382" s="1" t="n">
        <v>46311</v>
      </c>
      <c r="F382" t="inlineStr">
        <is>
          <t>HALLANDS LÄN</t>
        </is>
      </c>
      <c r="G382" t="inlineStr">
        <is>
          <t>VARBERG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46311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46311</v>
      </c>
      <c r="F384" t="inlineStr">
        <is>
          <t>HALLANDS LÄN</t>
        </is>
      </c>
      <c r="G384" t="inlineStr">
        <is>
          <t>VARBERG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45436</v>
      </c>
      <c r="E385" s="1" t="n">
        <v>46311</v>
      </c>
      <c r="F385" t="inlineStr">
        <is>
          <t>HALLANDS LÄN</t>
        </is>
      </c>
      <c r="G385" t="inlineStr">
        <is>
          <t>VARBERG</t>
        </is>
      </c>
      <c r="H385" t="inlineStr">
        <is>
          <t>Kyrkan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13600-2025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45736</v>
      </c>
      <c r="E386" s="1" t="n">
        <v>46311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46311</v>
      </c>
      <c r="F387" t="inlineStr">
        <is>
          <t>HALLANDS LÄN</t>
        </is>
      </c>
      <c r="G387" t="inlineStr">
        <is>
          <t>VARBERG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46311</v>
      </c>
      <c r="F388" t="inlineStr">
        <is>
          <t>HALLANDS LÄN</t>
        </is>
      </c>
      <c r="G388" t="inlineStr">
        <is>
          <t>VARBERG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44811</v>
      </c>
      <c r="E389" s="1" t="n">
        <v>46311</v>
      </c>
      <c r="F389" t="inlineStr">
        <is>
          <t>HALLANDS LÄN</t>
        </is>
      </c>
      <c r="G389" t="inlineStr">
        <is>
          <t>VARBERG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43681-2022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44837</v>
      </c>
      <c r="E390" s="1" t="n">
        <v>46311</v>
      </c>
      <c r="F390" t="inlineStr">
        <is>
          <t>HALLANDS LÄN</t>
        </is>
      </c>
      <c r="G390" t="inlineStr">
        <is>
          <t>VARBERG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45457</v>
      </c>
      <c r="E391" s="1" t="n">
        <v>46311</v>
      </c>
      <c r="F391" t="inlineStr">
        <is>
          <t>HALLANDS LÄN</t>
        </is>
      </c>
      <c r="G391" t="inlineStr">
        <is>
          <t>VARBERG</t>
        </is>
      </c>
      <c r="H391" t="inlineStr">
        <is>
          <t>Kyrkan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46311</v>
      </c>
      <c r="F392" t="inlineStr">
        <is>
          <t>HALLANDS LÄN</t>
        </is>
      </c>
      <c r="G392" t="inlineStr">
        <is>
          <t>VARBERG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46311</v>
      </c>
      <c r="F393" t="inlineStr">
        <is>
          <t>HALLANDS LÄN</t>
        </is>
      </c>
      <c r="G393" t="inlineStr">
        <is>
          <t>VARBERG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46286</v>
      </c>
      <c r="E394" s="1" t="n">
        <v>46311</v>
      </c>
      <c r="F394" t="inlineStr">
        <is>
          <t>HALLANDS LÄN</t>
        </is>
      </c>
      <c r="G394" t="inlineStr">
        <is>
          <t>VARBERG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46311</v>
      </c>
      <c r="F395" t="inlineStr">
        <is>
          <t>HALLANDS LÄN</t>
        </is>
      </c>
      <c r="G395" t="inlineStr">
        <is>
          <t>VARBERG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46311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46311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46311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46288</v>
      </c>
      <c r="E399" s="1" t="n">
        <v>46311</v>
      </c>
      <c r="F399" t="inlineStr">
        <is>
          <t>HALLANDS LÄN</t>
        </is>
      </c>
      <c r="G399" t="inlineStr">
        <is>
          <t>VARBERG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10700-2025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46311</v>
      </c>
      <c r="F400" t="inlineStr">
        <is>
          <t>HALLANDS LÄN</t>
        </is>
      </c>
      <c r="G400" t="inlineStr">
        <is>
          <t>VARBERG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46311</v>
      </c>
      <c r="F401" t="inlineStr">
        <is>
          <t>HALLANDS LÄN</t>
        </is>
      </c>
      <c r="G401" t="inlineStr">
        <is>
          <t>VARBERG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45819</v>
      </c>
      <c r="E402" s="1" t="n">
        <v>46311</v>
      </c>
      <c r="F402" t="inlineStr">
        <is>
          <t>HALLANDS LÄN</t>
        </is>
      </c>
      <c r="G402" t="inlineStr">
        <is>
          <t>VARBERG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46311</v>
      </c>
      <c r="F403" t="inlineStr">
        <is>
          <t>HALLANDS LÄN</t>
        </is>
      </c>
      <c r="G403" t="inlineStr">
        <is>
          <t>VARBERG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45341</v>
      </c>
      <c r="E404" s="1" t="n">
        <v>46311</v>
      </c>
      <c r="F404" t="inlineStr">
        <is>
          <t>HALLANDS LÄN</t>
        </is>
      </c>
      <c r="G404" t="inlineStr">
        <is>
          <t>VARBERG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45749</v>
      </c>
      <c r="E405" s="1" t="n">
        <v>46311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46311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46311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45985</v>
      </c>
      <c r="E408" s="1" t="n">
        <v>46311</v>
      </c>
      <c r="F408" t="inlineStr">
        <is>
          <t>HALLANDS LÄN</t>
        </is>
      </c>
      <c r="G408" t="inlineStr">
        <is>
          <t>VARBERG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45184</v>
      </c>
      <c r="E409" s="1" t="n">
        <v>46311</v>
      </c>
      <c r="F409" t="inlineStr">
        <is>
          <t>HALLANDS LÄN</t>
        </is>
      </c>
      <c r="G409" t="inlineStr">
        <is>
          <t>VARBERG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45310</v>
      </c>
      <c r="E410" s="1" t="n">
        <v>46311</v>
      </c>
      <c r="F410" t="inlineStr">
        <is>
          <t>HALLANDS LÄN</t>
        </is>
      </c>
      <c r="G410" t="inlineStr">
        <is>
          <t>VARBERG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46311</v>
      </c>
      <c r="F411" t="inlineStr">
        <is>
          <t>HALLANDS LÄN</t>
        </is>
      </c>
      <c r="G411" t="inlineStr">
        <is>
          <t>VARBERG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46311</v>
      </c>
      <c r="F412" t="inlineStr">
        <is>
          <t>HALLANDS LÄN</t>
        </is>
      </c>
      <c r="G412" t="inlineStr">
        <is>
          <t>VARBERG</t>
        </is>
      </c>
      <c r="H412" t="inlineStr">
        <is>
          <t>Övriga statliga verk och myndigheter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46311</v>
      </c>
      <c r="F413" t="inlineStr">
        <is>
          <t>HALLANDS LÄN</t>
        </is>
      </c>
      <c r="G413" t="inlineStr">
        <is>
          <t>VARBERG</t>
        </is>
      </c>
      <c r="H413" t="inlineStr">
        <is>
          <t>Övriga statliga verk och myndigheter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46251</v>
      </c>
      <c r="E414" s="1" t="n">
        <v>46311</v>
      </c>
      <c r="F414" t="inlineStr">
        <is>
          <t>HALLANDS LÄN</t>
        </is>
      </c>
      <c r="G414" t="inlineStr">
        <is>
          <t>VARBERG</t>
        </is>
      </c>
      <c r="H414" t="inlineStr">
        <is>
          <t>Övriga statliga verk och myndigheter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60207-2025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46311</v>
      </c>
      <c r="F415" t="inlineStr">
        <is>
          <t>HALLANDS LÄN</t>
        </is>
      </c>
      <c r="G415" t="inlineStr">
        <is>
          <t>VARBERG</t>
        </is>
      </c>
      <c r="I415" t="n">
        <v>8.5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46311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46311</v>
      </c>
      <c r="F417" t="inlineStr">
        <is>
          <t>HALLANDS LÄN</t>
        </is>
      </c>
      <c r="G417" t="inlineStr">
        <is>
          <t>VARBERG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46295</v>
      </c>
      <c r="E418" s="1" t="n">
        <v>46311</v>
      </c>
      <c r="F418" t="inlineStr">
        <is>
          <t>HALLANDS LÄN</t>
        </is>
      </c>
      <c r="G418" t="inlineStr">
        <is>
          <t>VARBERG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37872-2026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46279</v>
      </c>
      <c r="E419" s="1" t="n">
        <v>46311</v>
      </c>
      <c r="F419" t="inlineStr">
        <is>
          <t>HALLANDS LÄN</t>
        </is>
      </c>
      <c r="G419" t="inlineStr">
        <is>
          <t>VARBERG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46003</v>
      </c>
      <c r="E420" s="1" t="n">
        <v>46311</v>
      </c>
      <c r="F420" t="inlineStr">
        <is>
          <t>HALLANDS LÄN</t>
        </is>
      </c>
      <c r="G420" t="inlineStr">
        <is>
          <t>VARBERG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46003</v>
      </c>
      <c r="E421" s="1" t="n">
        <v>46311</v>
      </c>
      <c r="F421" t="inlineStr">
        <is>
          <t>HALLANDS LÄN</t>
        </is>
      </c>
      <c r="G421" t="inlineStr">
        <is>
          <t>VARBERG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40461-2026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46295</v>
      </c>
      <c r="E422" s="1" t="n">
        <v>46311</v>
      </c>
      <c r="F422" t="inlineStr">
        <is>
          <t>HALLANDS LÄN</t>
        </is>
      </c>
      <c r="G422" t="inlineStr">
        <is>
          <t>VARBERG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46311</v>
      </c>
      <c r="F423" t="inlineStr">
        <is>
          <t>HALLANDS LÄN</t>
        </is>
      </c>
      <c r="G423" t="inlineStr">
        <is>
          <t>VARBERG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62353-2025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46311</v>
      </c>
      <c r="F424" t="inlineStr">
        <is>
          <t>HALLANDS LÄN</t>
        </is>
      </c>
      <c r="G424" t="inlineStr">
        <is>
          <t>VARBERG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46311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62608-2025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46311</v>
      </c>
      <c r="F426" t="inlineStr">
        <is>
          <t>HALLANDS LÄN</t>
        </is>
      </c>
      <c r="G426" t="inlineStr">
        <is>
          <t>VARBERG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32307-2025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46311</v>
      </c>
      <c r="F427" t="inlineStr">
        <is>
          <t>HALLANDS LÄN</t>
        </is>
      </c>
      <c r="G427" t="inlineStr">
        <is>
          <t>VARBERG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46311</v>
      </c>
      <c r="F428" t="inlineStr">
        <is>
          <t>HALLANDS LÄN</t>
        </is>
      </c>
      <c r="G428" t="inlineStr">
        <is>
          <t>VARBERG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46311</v>
      </c>
      <c r="F429" t="inlineStr">
        <is>
          <t>HALLANDS LÄN</t>
        </is>
      </c>
      <c r="G429" t="inlineStr">
        <is>
          <t>VARBERG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46255</v>
      </c>
      <c r="E430" s="1" t="n">
        <v>46311</v>
      </c>
      <c r="F430" t="inlineStr">
        <is>
          <t>HALLANDS LÄN</t>
        </is>
      </c>
      <c r="G430" t="inlineStr">
        <is>
          <t>VARBERG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63271-2025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46311</v>
      </c>
      <c r="F431" t="inlineStr">
        <is>
          <t>HALLANDS LÄN</t>
        </is>
      </c>
      <c r="G431" t="inlineStr">
        <is>
          <t>VARBERG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45791</v>
      </c>
      <c r="E432" s="1" t="n">
        <v>46311</v>
      </c>
      <c r="F432" t="inlineStr">
        <is>
          <t>HALLANDS LÄN</t>
        </is>
      </c>
      <c r="G432" t="inlineStr">
        <is>
          <t>VARBERG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46311</v>
      </c>
      <c r="F433" t="inlineStr">
        <is>
          <t>HALLANDS LÄN</t>
        </is>
      </c>
      <c r="G433" t="inlineStr">
        <is>
          <t>VARBERG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41044-2026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46299</v>
      </c>
      <c r="E434" s="1" t="n">
        <v>46311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46311</v>
      </c>
      <c r="F435" t="inlineStr">
        <is>
          <t>HALLANDS LÄN</t>
        </is>
      </c>
      <c r="G435" t="inlineStr">
        <is>
          <t>VARBERG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46311</v>
      </c>
      <c r="F436" t="inlineStr">
        <is>
          <t>HALLANDS LÄN</t>
        </is>
      </c>
      <c r="G436" t="inlineStr">
        <is>
          <t>VARBERG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45791</v>
      </c>
      <c r="E437" s="1" t="n">
        <v>46311</v>
      </c>
      <c r="F437" t="inlineStr">
        <is>
          <t>HALLANDS LÄN</t>
        </is>
      </c>
      <c r="G437" t="inlineStr">
        <is>
          <t>VARBERG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46311</v>
      </c>
      <c r="F438" t="inlineStr">
        <is>
          <t>HALLANDS LÄN</t>
        </is>
      </c>
      <c r="G438" t="inlineStr">
        <is>
          <t>VARBERG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44793-2024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45574</v>
      </c>
      <c r="E439" s="1" t="n">
        <v>46311</v>
      </c>
      <c r="F439" t="inlineStr">
        <is>
          <t>HALLANDS LÄN</t>
        </is>
      </c>
      <c r="G439" t="inlineStr">
        <is>
          <t>VARBERG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63634-2025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46014</v>
      </c>
      <c r="E440" s="1" t="n">
        <v>46311</v>
      </c>
      <c r="F440" t="inlineStr">
        <is>
          <t>HALLANDS LÄN</t>
        </is>
      </c>
      <c r="G440" t="inlineStr">
        <is>
          <t>VARBERG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46014</v>
      </c>
      <c r="E441" s="1" t="n">
        <v>46311</v>
      </c>
      <c r="F441" t="inlineStr">
        <is>
          <t>HALLANDS LÄN</t>
        </is>
      </c>
      <c r="G441" t="inlineStr">
        <is>
          <t>VARBERG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45791</v>
      </c>
      <c r="E442" s="1" t="n">
        <v>46311</v>
      </c>
      <c r="F442" t="inlineStr">
        <is>
          <t>HALLANDS LÄN</t>
        </is>
      </c>
      <c r="G442" t="inlineStr">
        <is>
          <t>VARBERG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63632-2025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46014</v>
      </c>
      <c r="E443" s="1" t="n">
        <v>46311</v>
      </c>
      <c r="F443" t="inlineStr">
        <is>
          <t>HALLANDS LÄN</t>
        </is>
      </c>
      <c r="G443" t="inlineStr">
        <is>
          <t>VARBERG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46014</v>
      </c>
      <c r="E444" s="1" t="n">
        <v>46311</v>
      </c>
      <c r="F444" t="inlineStr">
        <is>
          <t>HALLANDS LÄN</t>
        </is>
      </c>
      <c r="G444" t="inlineStr">
        <is>
          <t>VARBERG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63637-2025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46014</v>
      </c>
      <c r="E445" s="1" t="n">
        <v>46311</v>
      </c>
      <c r="F445" t="inlineStr">
        <is>
          <t>HALLANDS LÄN</t>
        </is>
      </c>
      <c r="G445" t="inlineStr">
        <is>
          <t>VARBERG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41264-2026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46300</v>
      </c>
      <c r="E446" s="1" t="n">
        <v>46311</v>
      </c>
      <c r="F446" t="inlineStr">
        <is>
          <t>HALLANDS LÄN</t>
        </is>
      </c>
      <c r="G446" t="inlineStr">
        <is>
          <t>VARBERG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36423-2026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46269</v>
      </c>
      <c r="E447" s="1" t="n">
        <v>46311</v>
      </c>
      <c r="F447" t="inlineStr">
        <is>
          <t>HALLANDS LÄN</t>
        </is>
      </c>
      <c r="G447" t="inlineStr">
        <is>
          <t>VARBERG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46311</v>
      </c>
      <c r="F448" t="inlineStr">
        <is>
          <t>HALLANDS LÄN</t>
        </is>
      </c>
      <c r="G448" t="inlineStr">
        <is>
          <t>VARBERG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36425-2026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46269</v>
      </c>
      <c r="E449" s="1" t="n">
        <v>46311</v>
      </c>
      <c r="F449" t="inlineStr">
        <is>
          <t>HALLANDS LÄN</t>
        </is>
      </c>
      <c r="G449" t="inlineStr">
        <is>
          <t>VARBERG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41469-2026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46301</v>
      </c>
      <c r="E450" s="1" t="n">
        <v>46311</v>
      </c>
      <c r="F450" t="inlineStr">
        <is>
          <t>HALLANDS LÄN</t>
        </is>
      </c>
      <c r="G450" t="inlineStr">
        <is>
          <t>VARBERG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45336</v>
      </c>
      <c r="E451" s="1" t="n">
        <v>46311</v>
      </c>
      <c r="F451" t="inlineStr">
        <is>
          <t>HALLANDS LÄN</t>
        </is>
      </c>
      <c r="G451" t="inlineStr">
        <is>
          <t>VARBERG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46311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46047</v>
      </c>
      <c r="E453" s="1" t="n">
        <v>46311</v>
      </c>
      <c r="F453" t="inlineStr">
        <is>
          <t>HALLANDS LÄN</t>
        </is>
      </c>
      <c r="G453" t="inlineStr">
        <is>
          <t>VARBERG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46047</v>
      </c>
      <c r="E454" s="1" t="n">
        <v>46311</v>
      </c>
      <c r="F454" t="inlineStr">
        <is>
          <t>HALLANDS LÄN</t>
        </is>
      </c>
      <c r="G454" t="inlineStr">
        <is>
          <t>VARBERG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45372</v>
      </c>
      <c r="E455" s="1" t="n">
        <v>46311</v>
      </c>
      <c r="F455" t="inlineStr">
        <is>
          <t>HALLANDS LÄN</t>
        </is>
      </c>
      <c r="G455" t="inlineStr">
        <is>
          <t>VARBERG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42390-2026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46307</v>
      </c>
      <c r="E456" s="1" t="n">
        <v>46311</v>
      </c>
      <c r="F456" t="inlineStr">
        <is>
          <t>HALLANDS LÄN</t>
        </is>
      </c>
      <c r="G456" t="inlineStr">
        <is>
          <t>VARBERG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46311</v>
      </c>
      <c r="F457" t="inlineStr">
        <is>
          <t>HALLANDS LÄN</t>
        </is>
      </c>
      <c r="G457" t="inlineStr">
        <is>
          <t>VARBERG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46311</v>
      </c>
      <c r="F458" t="inlineStr">
        <is>
          <t>HALLANDS LÄN</t>
        </is>
      </c>
      <c r="G458" t="inlineStr">
        <is>
          <t>VARBERG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46064</v>
      </c>
      <c r="E459" s="1" t="n">
        <v>46311</v>
      </c>
      <c r="F459" t="inlineStr">
        <is>
          <t>HALLANDS LÄN</t>
        </is>
      </c>
      <c r="G459" t="inlineStr">
        <is>
          <t>VARBERG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46311</v>
      </c>
      <c r="F460" t="inlineStr">
        <is>
          <t>HALLANDS LÄN</t>
        </is>
      </c>
      <c r="G460" t="inlineStr">
        <is>
          <t>VARBERG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46311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46311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46311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46311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46311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46311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46311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46311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46311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46311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46311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2133-2025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45847</v>
      </c>
      <c r="E472" s="1" t="n">
        <v>46311</v>
      </c>
      <c r="F472" t="inlineStr">
        <is>
          <t>HALLANDS LÄN</t>
        </is>
      </c>
      <c r="G472" t="inlineStr">
        <is>
          <t>VARBERG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139-2026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46311</v>
      </c>
      <c r="F473" t="inlineStr">
        <is>
          <t>HALLANDS LÄN</t>
        </is>
      </c>
      <c r="G473" t="inlineStr">
        <is>
          <t>VARBERG</t>
        </is>
      </c>
      <c r="I473" t="n">
        <v>38.9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46311</v>
      </c>
      <c r="F474" t="inlineStr">
        <is>
          <t>HALLANDS LÄN</t>
        </is>
      </c>
      <c r="G474" t="inlineStr">
        <is>
          <t>VARBERG</t>
        </is>
      </c>
      <c r="I474" t="n">
        <v>23.1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46311</v>
      </c>
      <c r="F475" t="inlineStr">
        <is>
          <t>HALLANDS LÄN</t>
        </is>
      </c>
      <c r="G475" t="inlineStr">
        <is>
          <t>VARBERG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46311</v>
      </c>
      <c r="F476" t="inlineStr">
        <is>
          <t>HALLANDS LÄN</t>
        </is>
      </c>
      <c r="G476" t="inlineStr">
        <is>
          <t>VARBERG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1402-2026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46311</v>
      </c>
      <c r="F477" t="inlineStr">
        <is>
          <t>HALLANDS LÄN</t>
        </is>
      </c>
      <c r="G477" t="inlineStr">
        <is>
          <t>VARBERG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2273-2026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46264</v>
      </c>
      <c r="E478" s="1" t="n">
        <v>46311</v>
      </c>
      <c r="F478" t="inlineStr">
        <is>
          <t>HALLANDS LÄN</t>
        </is>
      </c>
      <c r="G478" t="inlineStr">
        <is>
          <t>VARBERG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2026-10-16T02:14:58Z</dcterms:created>
  <dcterms:modified xmlns:dcterms="http://purl.org/dc/terms/" xmlns:xsi="http://www.w3.org/2001/XMLSchema-instance" xsi:type="dcterms:W3CDTF">2026-10-16T02:14:59Z</dcterms:modified>
</cp:coreProperties>
</file>