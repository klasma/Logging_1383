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45875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45875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45875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45875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45875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45875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30253-2024</t>
        </is>
      </c>
      <c r="B8" s="1" t="n">
        <v>45490</v>
      </c>
      <c r="C8" s="1" t="n">
        <v>45875</v>
      </c>
      <c r="D8" t="inlineStr">
        <is>
          <t>HALLANDS LÄN</t>
        </is>
      </c>
      <c r="E8" t="inlineStr">
        <is>
          <t>VARBERG</t>
        </is>
      </c>
      <c r="G8" t="n">
        <v>6.7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Dvärglin
Grönsångare
Kopparödla</t>
        </is>
      </c>
      <c r="S8">
        <f>HYPERLINK("https://klasma.github.io/Logging_1383/artfynd/A 30253-2024 artfynd.xlsx", "A 30253-2024")</f>
        <v/>
      </c>
      <c r="T8">
        <f>HYPERLINK("https://klasma.github.io/Logging_1383/kartor/A 30253-2024 karta.png", "A 30253-2024")</f>
        <v/>
      </c>
      <c r="V8">
        <f>HYPERLINK("https://klasma.github.io/Logging_1383/klagomål/A 30253-2024 FSC-klagomål.docx", "A 30253-2024")</f>
        <v/>
      </c>
      <c r="W8">
        <f>HYPERLINK("https://klasma.github.io/Logging_1383/klagomålsmail/A 30253-2024 FSC-klagomål mail.docx", "A 30253-2024")</f>
        <v/>
      </c>
      <c r="X8">
        <f>HYPERLINK("https://klasma.github.io/Logging_1383/tillsyn/A 30253-2024 tillsynsbegäran.docx", "A 30253-2024")</f>
        <v/>
      </c>
      <c r="Y8">
        <f>HYPERLINK("https://klasma.github.io/Logging_1383/tillsynsmail/A 30253-2024 tillsynsbegäran mail.docx", "A 30253-2024")</f>
        <v/>
      </c>
      <c r="Z8">
        <f>HYPERLINK("https://klasma.github.io/Logging_1383/fåglar/A 30253-2024 prioriterade fågelarter.docx", "A 30253-2024")</f>
        <v/>
      </c>
    </row>
    <row r="9" ht="15" customHeight="1">
      <c r="A9" t="inlineStr">
        <is>
          <t>A 53051-2024</t>
        </is>
      </c>
      <c r="B9" s="1" t="n">
        <v>45611</v>
      </c>
      <c r="C9" s="1" t="n">
        <v>45875</v>
      </c>
      <c r="D9" t="inlineStr">
        <is>
          <t>HALLANDS LÄN</t>
        </is>
      </c>
      <c r="E9" t="inlineStr">
        <is>
          <t>VARBERG</t>
        </is>
      </c>
      <c r="G9" t="n">
        <v>2.6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Västlig hakmossa
Vågbandad barkbock</t>
        </is>
      </c>
      <c r="S9">
        <f>HYPERLINK("https://klasma.github.io/Logging_1383/artfynd/A 53051-2024 artfynd.xlsx", "A 53051-2024")</f>
        <v/>
      </c>
      <c r="T9">
        <f>HYPERLINK("https://klasma.github.io/Logging_1383/kartor/A 53051-2024 karta.png", "A 53051-2024")</f>
        <v/>
      </c>
      <c r="V9">
        <f>HYPERLINK("https://klasma.github.io/Logging_1383/klagomål/A 53051-2024 FSC-klagomål.docx", "A 53051-2024")</f>
        <v/>
      </c>
      <c r="W9">
        <f>HYPERLINK("https://klasma.github.io/Logging_1383/klagomålsmail/A 53051-2024 FSC-klagomål mail.docx", "A 53051-2024")</f>
        <v/>
      </c>
      <c r="X9">
        <f>HYPERLINK("https://klasma.github.io/Logging_1383/tillsyn/A 53051-2024 tillsynsbegäran.docx", "A 53051-2024")</f>
        <v/>
      </c>
      <c r="Y9">
        <f>HYPERLINK("https://klasma.github.io/Logging_1383/tillsynsmail/A 53051-2024 tillsynsbegäran mail.docx", "A 53051-2024")</f>
        <v/>
      </c>
    </row>
    <row r="10" ht="15" customHeight="1">
      <c r="A10" t="inlineStr">
        <is>
          <t>A 4779-2025</t>
        </is>
      </c>
      <c r="B10" s="1" t="n">
        <v>45688</v>
      </c>
      <c r="C10" s="1" t="n">
        <v>45875</v>
      </c>
      <c r="D10" t="inlineStr">
        <is>
          <t>HALLANDS LÄN</t>
        </is>
      </c>
      <c r="E10" t="inlineStr">
        <is>
          <t>VARBERG</t>
        </is>
      </c>
      <c r="G10" t="n">
        <v>10.3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Hasselmus
Skogsödla</t>
        </is>
      </c>
      <c r="S10">
        <f>HYPERLINK("https://klasma.github.io/Logging_1383/artfynd/A 4779-2025 artfynd.xlsx", "A 4779-2025")</f>
        <v/>
      </c>
      <c r="T10">
        <f>HYPERLINK("https://klasma.github.io/Logging_1383/kartor/A 4779-2025 karta.png", "A 4779-2025")</f>
        <v/>
      </c>
      <c r="V10">
        <f>HYPERLINK("https://klasma.github.io/Logging_1383/klagomål/A 4779-2025 FSC-klagomål.docx", "A 4779-2025")</f>
        <v/>
      </c>
      <c r="W10">
        <f>HYPERLINK("https://klasma.github.io/Logging_1383/klagomålsmail/A 4779-2025 FSC-klagomål mail.docx", "A 4779-2025")</f>
        <v/>
      </c>
      <c r="X10">
        <f>HYPERLINK("https://klasma.github.io/Logging_1383/tillsyn/A 4779-2025 tillsynsbegäran.docx", "A 4779-2025")</f>
        <v/>
      </c>
      <c r="Y10">
        <f>HYPERLINK("https://klasma.github.io/Logging_1383/tillsynsmail/A 4779-2025 tillsynsbegäran mail.docx", "A 4779-2025")</f>
        <v/>
      </c>
      <c r="Z10">
        <f>HYPERLINK("https://klasma.github.io/Logging_1383/fåglar/A 4779-2025 prioriterade fågelarter.docx", "A 4779-2025")</f>
        <v/>
      </c>
    </row>
    <row r="11" ht="15" customHeight="1">
      <c r="A11" t="inlineStr">
        <is>
          <t>A 61149-2019</t>
        </is>
      </c>
      <c r="B11" s="1" t="n">
        <v>43782</v>
      </c>
      <c r="C11" s="1" t="n">
        <v>45875</v>
      </c>
      <c r="D11" t="inlineStr">
        <is>
          <t>HALLANDS LÄN</t>
        </is>
      </c>
      <c r="E11" t="inlineStr">
        <is>
          <t>VARBERG</t>
        </is>
      </c>
      <c r="G11" t="n">
        <v>10.8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Björktrast
Grönsångare</t>
        </is>
      </c>
      <c r="S11">
        <f>HYPERLINK("https://klasma.github.io/Logging_1383/artfynd/A 61149-2019 artfynd.xlsx", "A 61149-2019")</f>
        <v/>
      </c>
      <c r="T11">
        <f>HYPERLINK("https://klasma.github.io/Logging_1383/kartor/A 61149-2019 karta.png", "A 61149-2019")</f>
        <v/>
      </c>
      <c r="V11">
        <f>HYPERLINK("https://klasma.github.io/Logging_1383/klagomål/A 61149-2019 FSC-klagomål.docx", "A 61149-2019")</f>
        <v/>
      </c>
      <c r="W11">
        <f>HYPERLINK("https://klasma.github.io/Logging_1383/klagomålsmail/A 61149-2019 FSC-klagomål mail.docx", "A 61149-2019")</f>
        <v/>
      </c>
      <c r="X11">
        <f>HYPERLINK("https://klasma.github.io/Logging_1383/tillsyn/A 61149-2019 tillsynsbegäran.docx", "A 61149-2019")</f>
        <v/>
      </c>
      <c r="Y11">
        <f>HYPERLINK("https://klasma.github.io/Logging_1383/tillsynsmail/A 61149-2019 tillsynsbegäran mail.docx", "A 61149-2019")</f>
        <v/>
      </c>
      <c r="Z11">
        <f>HYPERLINK("https://klasma.github.io/Logging_1383/fåglar/A 61149-2019 prioriterade fågelarter.docx", "A 61149-2019")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45875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Kungsfågel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45875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36719-2022</t>
        </is>
      </c>
      <c r="B14" s="1" t="n">
        <v>44805</v>
      </c>
      <c r="C14" s="1" t="n">
        <v>45875</v>
      </c>
      <c r="D14" t="inlineStr">
        <is>
          <t>HALLANDS LÄN</t>
        </is>
      </c>
      <c r="E14" t="inlineStr">
        <is>
          <t>VARBERG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Orre</t>
        </is>
      </c>
      <c r="S14">
        <f>HYPERLINK("https://klasma.github.io/Logging_1383/artfynd/A 36719-2022 artfynd.xlsx", "A 36719-2022")</f>
        <v/>
      </c>
      <c r="T14">
        <f>HYPERLINK("https://klasma.github.io/Logging_1383/kartor/A 36719-2022 karta.png", "A 36719-2022")</f>
        <v/>
      </c>
      <c r="V14">
        <f>HYPERLINK("https://klasma.github.io/Logging_1383/klagomål/A 36719-2022 FSC-klagomål.docx", "A 36719-2022")</f>
        <v/>
      </c>
      <c r="W14">
        <f>HYPERLINK("https://klasma.github.io/Logging_1383/klagomålsmail/A 36719-2022 FSC-klagomål mail.docx", "A 36719-2022")</f>
        <v/>
      </c>
      <c r="X14">
        <f>HYPERLINK("https://klasma.github.io/Logging_1383/tillsyn/A 36719-2022 tillsynsbegäran.docx", "A 36719-2022")</f>
        <v/>
      </c>
      <c r="Y14">
        <f>HYPERLINK("https://klasma.github.io/Logging_1383/tillsynsmail/A 36719-2022 tillsynsbegäran mail.docx", "A 36719-2022")</f>
        <v/>
      </c>
      <c r="Z14">
        <f>HYPERLINK("https://klasma.github.io/Logging_1383/fåglar/A 36719-2022 prioriterade fågelarter.docx", "A 36719-2022")</f>
        <v/>
      </c>
    </row>
    <row r="15" ht="15" customHeight="1">
      <c r="A15" t="inlineStr">
        <is>
          <t>A 43379-2022</t>
        </is>
      </c>
      <c r="B15" s="1" t="n">
        <v>44834</v>
      </c>
      <c r="C15" s="1" t="n">
        <v>45875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Grönfink
Gulsparv</t>
        </is>
      </c>
      <c r="S15">
        <f>HYPERLINK("https://klasma.github.io/Logging_1383/artfynd/A 43379-2022 artfynd.xlsx", "A 43379-2022")</f>
        <v/>
      </c>
      <c r="T15">
        <f>HYPERLINK("https://klasma.github.io/Logging_1383/kartor/A 43379-2022 karta.png", "A 43379-2022")</f>
        <v/>
      </c>
      <c r="V15">
        <f>HYPERLINK("https://klasma.github.io/Logging_1383/klagomål/A 43379-2022 FSC-klagomål.docx", "A 43379-2022")</f>
        <v/>
      </c>
      <c r="W15">
        <f>HYPERLINK("https://klasma.github.io/Logging_1383/klagomålsmail/A 43379-2022 FSC-klagomål mail.docx", "A 43379-2022")</f>
        <v/>
      </c>
      <c r="X15">
        <f>HYPERLINK("https://klasma.github.io/Logging_1383/tillsyn/A 43379-2022 tillsynsbegäran.docx", "A 43379-2022")</f>
        <v/>
      </c>
      <c r="Y15">
        <f>HYPERLINK("https://klasma.github.io/Logging_1383/tillsynsmail/A 43379-2022 tillsynsbegäran mail.docx", "A 43379-2022")</f>
        <v/>
      </c>
      <c r="Z15">
        <f>HYPERLINK("https://klasma.github.io/Logging_1383/fåglar/A 43379-2022 prioriterade fågelarter.docx", "A 43379-2022")</f>
        <v/>
      </c>
    </row>
    <row r="16" ht="15" customHeight="1">
      <c r="A16" t="inlineStr">
        <is>
          <t>A 27474-2023</t>
        </is>
      </c>
      <c r="B16" s="1" t="n">
        <v>45093</v>
      </c>
      <c r="C16" s="1" t="n">
        <v>45875</v>
      </c>
      <c r="D16" t="inlineStr">
        <is>
          <t>HALLANDS LÄN</t>
        </is>
      </c>
      <c r="E16" t="inlineStr">
        <is>
          <t>VARBERG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Jättesvampmal</t>
        </is>
      </c>
      <c r="S16">
        <f>HYPERLINK("https://klasma.github.io/Logging_1383/artfynd/A 27474-2023 artfynd.xlsx", "A 27474-2023")</f>
        <v/>
      </c>
      <c r="T16">
        <f>HYPERLINK("https://klasma.github.io/Logging_1383/kartor/A 27474-2023 karta.png", "A 27474-2023")</f>
        <v/>
      </c>
      <c r="V16">
        <f>HYPERLINK("https://klasma.github.io/Logging_1383/klagomål/A 27474-2023 FSC-klagomål.docx", "A 27474-2023")</f>
        <v/>
      </c>
      <c r="W16">
        <f>HYPERLINK("https://klasma.github.io/Logging_1383/klagomålsmail/A 27474-2023 FSC-klagomål mail.docx", "A 27474-2023")</f>
        <v/>
      </c>
      <c r="X16">
        <f>HYPERLINK("https://klasma.github.io/Logging_1383/tillsyn/A 27474-2023 tillsynsbegäran.docx", "A 27474-2023")</f>
        <v/>
      </c>
      <c r="Y16">
        <f>HYPERLINK("https://klasma.github.io/Logging_1383/tillsynsmail/A 27474-2023 tillsynsbegäran mail.docx", "A 27474-2023")</f>
        <v/>
      </c>
    </row>
    <row r="17" ht="15" customHeight="1">
      <c r="A17" t="inlineStr">
        <is>
          <t>A 14048-2024</t>
        </is>
      </c>
      <c r="B17" s="1" t="n">
        <v>45392</v>
      </c>
      <c r="C17" s="1" t="n">
        <v>45875</v>
      </c>
      <c r="D17" t="inlineStr">
        <is>
          <t>HALLANDS LÄN</t>
        </is>
      </c>
      <c r="E17" t="inlineStr">
        <is>
          <t>VARBERG</t>
        </is>
      </c>
      <c r="G17" t="n">
        <v>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Loppstarr
Ängsstarr</t>
        </is>
      </c>
      <c r="S17">
        <f>HYPERLINK("https://klasma.github.io/Logging_1383/artfynd/A 14048-2024 artfynd.xlsx", "A 14048-2024")</f>
        <v/>
      </c>
      <c r="T17">
        <f>HYPERLINK("https://klasma.github.io/Logging_1383/kartor/A 14048-2024 karta.png", "A 14048-2024")</f>
        <v/>
      </c>
      <c r="V17">
        <f>HYPERLINK("https://klasma.github.io/Logging_1383/klagomål/A 14048-2024 FSC-klagomål.docx", "A 14048-2024")</f>
        <v/>
      </c>
      <c r="W17">
        <f>HYPERLINK("https://klasma.github.io/Logging_1383/klagomålsmail/A 14048-2024 FSC-klagomål mail.docx", "A 14048-2024")</f>
        <v/>
      </c>
      <c r="X17">
        <f>HYPERLINK("https://klasma.github.io/Logging_1383/tillsyn/A 14048-2024 tillsynsbegäran.docx", "A 14048-2024")</f>
        <v/>
      </c>
      <c r="Y17">
        <f>HYPERLINK("https://klasma.github.io/Logging_1383/tillsynsmail/A 14048-2024 tillsynsbegäran mail.docx", "A 14048-2024")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45875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45875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45875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68882-2020</t>
        </is>
      </c>
      <c r="B21" s="1" t="n">
        <v>44187</v>
      </c>
      <c r="C21" s="1" t="n">
        <v>45875</v>
      </c>
      <c r="D21" t="inlineStr">
        <is>
          <t>HALLANDS LÄN</t>
        </is>
      </c>
      <c r="E21" t="inlineStr">
        <is>
          <t>VARBERG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68882-2020 artfynd.xlsx", "A 68882-2020")</f>
        <v/>
      </c>
      <c r="T21">
        <f>HYPERLINK("https://klasma.github.io/Logging_1383/kartor/A 68882-2020 karta.png", "A 68882-2020")</f>
        <v/>
      </c>
      <c r="V21">
        <f>HYPERLINK("https://klasma.github.io/Logging_1383/klagomål/A 68882-2020 FSC-klagomål.docx", "A 68882-2020")</f>
        <v/>
      </c>
      <c r="W21">
        <f>HYPERLINK("https://klasma.github.io/Logging_1383/klagomålsmail/A 68882-2020 FSC-klagomål mail.docx", "A 68882-2020")</f>
        <v/>
      </c>
      <c r="X21">
        <f>HYPERLINK("https://klasma.github.io/Logging_1383/tillsyn/A 68882-2020 tillsynsbegäran.docx", "A 68882-2020")</f>
        <v/>
      </c>
      <c r="Y21">
        <f>HYPERLINK("https://klasma.github.io/Logging_1383/tillsynsmail/A 68882-2020 tillsynsbegäran mail.docx", "A 68882-2020")</f>
        <v/>
      </c>
    </row>
    <row r="22" ht="15" customHeight="1">
      <c r="A22" t="inlineStr">
        <is>
          <t>A 69344-2020</t>
        </is>
      </c>
      <c r="B22" s="1" t="n">
        <v>44193</v>
      </c>
      <c r="C22" s="1" t="n">
        <v>45875</v>
      </c>
      <c r="D22" t="inlineStr">
        <is>
          <t>HALLANDS LÄN</t>
        </is>
      </c>
      <c r="E22" t="inlineStr">
        <is>
          <t>VARBERG</t>
        </is>
      </c>
      <c r="G22" t="n">
        <v>22.9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HYPERLINK("https://klasma.github.io/Logging_1383/artfynd/A 69344-2020 artfynd.xlsx", "A 69344-2020")</f>
        <v/>
      </c>
      <c r="T22">
        <f>HYPERLINK("https://klasma.github.io/Logging_1383/kartor/A 69344-2020 karta.png", "A 69344-2020")</f>
        <v/>
      </c>
      <c r="V22">
        <f>HYPERLINK("https://klasma.github.io/Logging_1383/klagomål/A 69344-2020 FSC-klagomål.docx", "A 69344-2020")</f>
        <v/>
      </c>
      <c r="W22">
        <f>HYPERLINK("https://klasma.github.io/Logging_1383/klagomålsmail/A 69344-2020 FSC-klagomål mail.docx", "A 69344-2020")</f>
        <v/>
      </c>
      <c r="X22">
        <f>HYPERLINK("https://klasma.github.io/Logging_1383/tillsyn/A 69344-2020 tillsynsbegäran.docx", "A 69344-2020")</f>
        <v/>
      </c>
      <c r="Y22">
        <f>HYPERLINK("https://klasma.github.io/Logging_1383/tillsynsmail/A 69344-2020 tillsynsbegäran mail.docx", "A 69344-2020")</f>
        <v/>
      </c>
    </row>
    <row r="23" ht="15" customHeight="1">
      <c r="A23" t="inlineStr">
        <is>
          <t>A 9371-2021</t>
        </is>
      </c>
      <c r="B23" s="1" t="n">
        <v>44250</v>
      </c>
      <c r="C23" s="1" t="n">
        <v>45875</v>
      </c>
      <c r="D23" t="inlineStr">
        <is>
          <t>HALLANDS LÄN</t>
        </is>
      </c>
      <c r="E23" t="inlineStr">
        <is>
          <t>VARBERG</t>
        </is>
      </c>
      <c r="G23" t="n">
        <v>18.9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HYPERLINK("https://klasma.github.io/Logging_1383/artfynd/A 9371-2021 artfynd.xlsx", "A 9371-2021")</f>
        <v/>
      </c>
      <c r="T23">
        <f>HYPERLINK("https://klasma.github.io/Logging_1383/kartor/A 9371-2021 karta.png", "A 9371-2021")</f>
        <v/>
      </c>
      <c r="V23">
        <f>HYPERLINK("https://klasma.github.io/Logging_1383/klagomål/A 9371-2021 FSC-klagomål.docx", "A 9371-2021")</f>
        <v/>
      </c>
      <c r="W23">
        <f>HYPERLINK("https://klasma.github.io/Logging_1383/klagomålsmail/A 9371-2021 FSC-klagomål mail.docx", "A 9371-2021")</f>
        <v/>
      </c>
      <c r="X23">
        <f>HYPERLINK("https://klasma.github.io/Logging_1383/tillsyn/A 9371-2021 tillsynsbegäran.docx", "A 9371-2021")</f>
        <v/>
      </c>
      <c r="Y23">
        <f>HYPERLINK("https://klasma.github.io/Logging_1383/tillsynsmail/A 9371-2021 tillsynsbegäran mail.docx", "A 9371-2021")</f>
        <v/>
      </c>
      <c r="Z23">
        <f>HYPERLINK("https://klasma.github.io/Logging_1383/fåglar/A 9371-2021 prioriterade fågelarter.docx", "A 9371-2021")</f>
        <v/>
      </c>
    </row>
    <row r="24" ht="15" customHeight="1">
      <c r="A24" t="inlineStr">
        <is>
          <t>A 30534-2021</t>
        </is>
      </c>
      <c r="B24" s="1" t="n">
        <v>44364</v>
      </c>
      <c r="C24" s="1" t="n">
        <v>45875</v>
      </c>
      <c r="D24" t="inlineStr">
        <is>
          <t>HALLANDS LÄN</t>
        </is>
      </c>
      <c r="E24" t="inlineStr">
        <is>
          <t>VARBERG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HYPERLINK("https://klasma.github.io/Logging_1383/artfynd/A 30534-2021 artfynd.xlsx", "A 30534-2021")</f>
        <v/>
      </c>
      <c r="T24">
        <f>HYPERLINK("https://klasma.github.io/Logging_1383/kartor/A 30534-2021 karta.png", "A 30534-2021")</f>
        <v/>
      </c>
      <c r="V24">
        <f>HYPERLINK("https://klasma.github.io/Logging_1383/klagomål/A 30534-2021 FSC-klagomål.docx", "A 30534-2021")</f>
        <v/>
      </c>
      <c r="W24">
        <f>HYPERLINK("https://klasma.github.io/Logging_1383/klagomålsmail/A 30534-2021 FSC-klagomål mail.docx", "A 30534-2021")</f>
        <v/>
      </c>
      <c r="X24">
        <f>HYPERLINK("https://klasma.github.io/Logging_1383/tillsyn/A 30534-2021 tillsynsbegäran.docx", "A 30534-2021")</f>
        <v/>
      </c>
      <c r="Y24">
        <f>HYPERLINK("https://klasma.github.io/Logging_1383/tillsynsmail/A 30534-2021 tillsynsbegäran mail.docx", "A 30534-2021")</f>
        <v/>
      </c>
    </row>
    <row r="25" ht="15" customHeight="1">
      <c r="A25" t="inlineStr">
        <is>
          <t>A 53915-2021</t>
        </is>
      </c>
      <c r="B25" s="1" t="n">
        <v>44469</v>
      </c>
      <c r="C25" s="1" t="n">
        <v>45875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HYPERLINK("https://klasma.github.io/Logging_1383/artfynd/A 53915-2021 artfynd.xlsx", "A 53915-2021")</f>
        <v/>
      </c>
      <c r="T25">
        <f>HYPERLINK("https://klasma.github.io/Logging_1383/kartor/A 53915-2021 karta.png", "A 53915-2021")</f>
        <v/>
      </c>
      <c r="V25">
        <f>HYPERLINK("https://klasma.github.io/Logging_1383/klagomål/A 53915-2021 FSC-klagomål.docx", "A 53915-2021")</f>
        <v/>
      </c>
      <c r="W25">
        <f>HYPERLINK("https://klasma.github.io/Logging_1383/klagomålsmail/A 53915-2021 FSC-klagomål mail.docx", "A 53915-2021")</f>
        <v/>
      </c>
      <c r="X25">
        <f>HYPERLINK("https://klasma.github.io/Logging_1383/tillsyn/A 53915-2021 tillsynsbegäran.docx", "A 53915-2021")</f>
        <v/>
      </c>
      <c r="Y25">
        <f>HYPERLINK("https://klasma.github.io/Logging_1383/tillsynsmail/A 53915-2021 tillsynsbegäran mail.docx", "A 53915-2021")</f>
        <v/>
      </c>
      <c r="Z25">
        <f>HYPERLINK("https://klasma.github.io/Logging_1383/fåglar/A 53915-2021 prioriterade fågelarter.docx", "A 53915-2021")</f>
        <v/>
      </c>
    </row>
    <row r="26" ht="15" customHeight="1">
      <c r="A26" t="inlineStr">
        <is>
          <t>A 43362-2022</t>
        </is>
      </c>
      <c r="B26" s="1" t="n">
        <v>44834</v>
      </c>
      <c r="C26" s="1" t="n">
        <v>45875</v>
      </c>
      <c r="D26" t="inlineStr">
        <is>
          <t>HALLANDS LÄN</t>
        </is>
      </c>
      <c r="E26" t="inlineStr">
        <is>
          <t>VARBERG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Dvärgpipistrell</t>
        </is>
      </c>
      <c r="S26">
        <f>HYPERLINK("https://klasma.github.io/Logging_1383/artfynd/A 43362-2022 artfynd.xlsx", "A 43362-2022")</f>
        <v/>
      </c>
      <c r="T26">
        <f>HYPERLINK("https://klasma.github.io/Logging_1383/kartor/A 43362-2022 karta.png", "A 43362-2022")</f>
        <v/>
      </c>
      <c r="V26">
        <f>HYPERLINK("https://klasma.github.io/Logging_1383/klagomål/A 43362-2022 FSC-klagomål.docx", "A 43362-2022")</f>
        <v/>
      </c>
      <c r="W26">
        <f>HYPERLINK("https://klasma.github.io/Logging_1383/klagomålsmail/A 43362-2022 FSC-klagomål mail.docx", "A 43362-2022")</f>
        <v/>
      </c>
      <c r="X26">
        <f>HYPERLINK("https://klasma.github.io/Logging_1383/tillsyn/A 43362-2022 tillsynsbegäran.docx", "A 43362-2022")</f>
        <v/>
      </c>
      <c r="Y26">
        <f>HYPERLINK("https://klasma.github.io/Logging_1383/tillsynsmail/A 43362-2022 tillsynsbegäran mail.docx", "A 43362-2022")</f>
        <v/>
      </c>
    </row>
    <row r="27" ht="15" customHeight="1">
      <c r="A27" t="inlineStr">
        <is>
          <t>A 49551-2022</t>
        </is>
      </c>
      <c r="B27" s="1" t="n">
        <v>44862</v>
      </c>
      <c r="C27" s="1" t="n">
        <v>45875</v>
      </c>
      <c r="D27" t="inlineStr">
        <is>
          <t>HALLANDS LÄN</t>
        </is>
      </c>
      <c r="E27" t="inlineStr">
        <is>
          <t>VARBERG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Guldlockmossa</t>
        </is>
      </c>
      <c r="S27">
        <f>HYPERLINK("https://klasma.github.io/Logging_1383/artfynd/A 49551-2022 artfynd.xlsx", "A 49551-2022")</f>
        <v/>
      </c>
      <c r="T27">
        <f>HYPERLINK("https://klasma.github.io/Logging_1383/kartor/A 49551-2022 karta.png", "A 49551-2022")</f>
        <v/>
      </c>
      <c r="V27">
        <f>HYPERLINK("https://klasma.github.io/Logging_1383/klagomål/A 49551-2022 FSC-klagomål.docx", "A 49551-2022")</f>
        <v/>
      </c>
      <c r="W27">
        <f>HYPERLINK("https://klasma.github.io/Logging_1383/klagomålsmail/A 49551-2022 FSC-klagomål mail.docx", "A 49551-2022")</f>
        <v/>
      </c>
      <c r="X27">
        <f>HYPERLINK("https://klasma.github.io/Logging_1383/tillsyn/A 49551-2022 tillsynsbegäran.docx", "A 49551-2022")</f>
        <v/>
      </c>
      <c r="Y27">
        <f>HYPERLINK("https://klasma.github.io/Logging_1383/tillsynsmail/A 49551-2022 tillsynsbegäran mail.docx", "A 49551-2022")</f>
        <v/>
      </c>
    </row>
    <row r="28" ht="15" customHeight="1">
      <c r="A28" t="inlineStr">
        <is>
          <t>A 57564-2022</t>
        </is>
      </c>
      <c r="B28" s="1" t="n">
        <v>44896</v>
      </c>
      <c r="C28" s="1" t="n">
        <v>45875</v>
      </c>
      <c r="D28" t="inlineStr">
        <is>
          <t>HALLANDS LÄN</t>
        </is>
      </c>
      <c r="E28" t="inlineStr">
        <is>
          <t>VARBERG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HYPERLINK("https://klasma.github.io/Logging_1383/artfynd/A 57564-2022 artfynd.xlsx", "A 57564-2022")</f>
        <v/>
      </c>
      <c r="T28">
        <f>HYPERLINK("https://klasma.github.io/Logging_1383/kartor/A 57564-2022 karta.png", "A 57564-2022")</f>
        <v/>
      </c>
      <c r="V28">
        <f>HYPERLINK("https://klasma.github.io/Logging_1383/klagomål/A 57564-2022 FSC-klagomål.docx", "A 57564-2022")</f>
        <v/>
      </c>
      <c r="W28">
        <f>HYPERLINK("https://klasma.github.io/Logging_1383/klagomålsmail/A 57564-2022 FSC-klagomål mail.docx", "A 57564-2022")</f>
        <v/>
      </c>
      <c r="X28">
        <f>HYPERLINK("https://klasma.github.io/Logging_1383/tillsyn/A 57564-2022 tillsynsbegäran.docx", "A 57564-2022")</f>
        <v/>
      </c>
      <c r="Y28">
        <f>HYPERLINK("https://klasma.github.io/Logging_1383/tillsynsmail/A 57564-2022 tillsynsbegäran mail.docx", "A 57564-2022")</f>
        <v/>
      </c>
      <c r="Z28">
        <f>HYPERLINK("https://klasma.github.io/Logging_1383/fåglar/A 57564-2022 prioriterade fågelarter.docx", "A 57564-2022")</f>
        <v/>
      </c>
    </row>
    <row r="29" ht="15" customHeight="1">
      <c r="A29" t="inlineStr">
        <is>
          <t>A 23050-2023</t>
        </is>
      </c>
      <c r="B29" s="1" t="n">
        <v>45075</v>
      </c>
      <c r="C29" s="1" t="n">
        <v>45875</v>
      </c>
      <c r="D29" t="inlineStr">
        <is>
          <t>HALLANDS LÄN</t>
        </is>
      </c>
      <c r="E29" t="inlineStr">
        <is>
          <t>VARBERG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23050-2023 artfynd.xlsx", "A 23050-2023")</f>
        <v/>
      </c>
      <c r="T29">
        <f>HYPERLINK("https://klasma.github.io/Logging_1383/kartor/A 23050-2023 karta.png", "A 23050-2023")</f>
        <v/>
      </c>
      <c r="V29">
        <f>HYPERLINK("https://klasma.github.io/Logging_1383/klagomål/A 23050-2023 FSC-klagomål.docx", "A 23050-2023")</f>
        <v/>
      </c>
      <c r="W29">
        <f>HYPERLINK("https://klasma.github.io/Logging_1383/klagomålsmail/A 23050-2023 FSC-klagomål mail.docx", "A 23050-2023")</f>
        <v/>
      </c>
      <c r="X29">
        <f>HYPERLINK("https://klasma.github.io/Logging_1383/tillsyn/A 23050-2023 tillsynsbegäran.docx", "A 23050-2023")</f>
        <v/>
      </c>
      <c r="Y29">
        <f>HYPERLINK("https://klasma.github.io/Logging_1383/tillsynsmail/A 23050-2023 tillsynsbegäran mail.docx", "A 23050-2023")</f>
        <v/>
      </c>
    </row>
    <row r="30" ht="15" customHeight="1">
      <c r="A30" t="inlineStr">
        <is>
          <t>A 34831-2023</t>
        </is>
      </c>
      <c r="B30" s="1" t="n">
        <v>45141</v>
      </c>
      <c r="C30" s="1" t="n">
        <v>45875</v>
      </c>
      <c r="D30" t="inlineStr">
        <is>
          <t>HALLANDS LÄN</t>
        </is>
      </c>
      <c r="E30" t="inlineStr">
        <is>
          <t>VARBERG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HYPERLINK("https://klasma.github.io/Logging_1383/artfynd/A 34831-2023 artfynd.xlsx", "A 34831-2023")</f>
        <v/>
      </c>
      <c r="T30">
        <f>HYPERLINK("https://klasma.github.io/Logging_1383/kartor/A 34831-2023 karta.png", "A 34831-2023")</f>
        <v/>
      </c>
      <c r="V30">
        <f>HYPERLINK("https://klasma.github.io/Logging_1383/klagomål/A 34831-2023 FSC-klagomål.docx", "A 34831-2023")</f>
        <v/>
      </c>
      <c r="W30">
        <f>HYPERLINK("https://klasma.github.io/Logging_1383/klagomålsmail/A 34831-2023 FSC-klagomål mail.docx", "A 34831-2023")</f>
        <v/>
      </c>
      <c r="X30">
        <f>HYPERLINK("https://klasma.github.io/Logging_1383/tillsyn/A 34831-2023 tillsynsbegäran.docx", "A 34831-2023")</f>
        <v/>
      </c>
      <c r="Y30">
        <f>HYPERLINK("https://klasma.github.io/Logging_1383/tillsynsmail/A 34831-2023 tillsynsbegäran mail.docx", "A 34831-2023")</f>
        <v/>
      </c>
    </row>
    <row r="31" ht="15" customHeight="1">
      <c r="A31" t="inlineStr">
        <is>
          <t>A 34833-2023</t>
        </is>
      </c>
      <c r="B31" s="1" t="n">
        <v>45141</v>
      </c>
      <c r="C31" s="1" t="n">
        <v>45875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HYPERLINK("https://klasma.github.io/Logging_1383/artfynd/A 34833-2023 artfynd.xlsx", "A 34833-2023")</f>
        <v/>
      </c>
      <c r="T31">
        <f>HYPERLINK("https://klasma.github.io/Logging_1383/kartor/A 34833-2023 karta.png", "A 34833-2023")</f>
        <v/>
      </c>
      <c r="V31">
        <f>HYPERLINK("https://klasma.github.io/Logging_1383/klagomål/A 34833-2023 FSC-klagomål.docx", "A 34833-2023")</f>
        <v/>
      </c>
      <c r="W31">
        <f>HYPERLINK("https://klasma.github.io/Logging_1383/klagomålsmail/A 34833-2023 FSC-klagomål mail.docx", "A 34833-2023")</f>
        <v/>
      </c>
      <c r="X31">
        <f>HYPERLINK("https://klasma.github.io/Logging_1383/tillsyn/A 34833-2023 tillsynsbegäran.docx", "A 34833-2023")</f>
        <v/>
      </c>
      <c r="Y31">
        <f>HYPERLINK("https://klasma.github.io/Logging_1383/tillsynsmail/A 34833-2023 tillsynsbegäran mail.docx", "A 34833-2023")</f>
        <v/>
      </c>
    </row>
    <row r="32" ht="15" customHeight="1">
      <c r="A32" t="inlineStr">
        <is>
          <t>A 3369-2024</t>
        </is>
      </c>
      <c r="B32" s="1" t="n">
        <v>45317</v>
      </c>
      <c r="C32" s="1" t="n">
        <v>45875</v>
      </c>
      <c r="D32" t="inlineStr">
        <is>
          <t>HALLANDS LÄN</t>
        </is>
      </c>
      <c r="E32" t="inlineStr">
        <is>
          <t>VARBERG</t>
        </is>
      </c>
      <c r="G32" t="n">
        <v>4.8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Brödmärgsticka</t>
        </is>
      </c>
      <c r="S32">
        <f>HYPERLINK("https://klasma.github.io/Logging_1383/artfynd/A 3369-2024 artfynd.xlsx", "A 3369-2024")</f>
        <v/>
      </c>
      <c r="T32">
        <f>HYPERLINK("https://klasma.github.io/Logging_1383/kartor/A 3369-2024 karta.png", "A 3369-2024")</f>
        <v/>
      </c>
      <c r="V32">
        <f>HYPERLINK("https://klasma.github.io/Logging_1383/klagomål/A 3369-2024 FSC-klagomål.docx", "A 3369-2024")</f>
        <v/>
      </c>
      <c r="W32">
        <f>HYPERLINK("https://klasma.github.io/Logging_1383/klagomålsmail/A 3369-2024 FSC-klagomål mail.docx", "A 3369-2024")</f>
        <v/>
      </c>
      <c r="X32">
        <f>HYPERLINK("https://klasma.github.io/Logging_1383/tillsyn/A 3369-2024 tillsynsbegäran.docx", "A 3369-2024")</f>
        <v/>
      </c>
      <c r="Y32">
        <f>HYPERLINK("https://klasma.github.io/Logging_1383/tillsynsmail/A 3369-2024 tillsynsbegäran mail.docx", "A 3369-2024")</f>
        <v/>
      </c>
    </row>
    <row r="33" ht="15" customHeight="1">
      <c r="A33" t="inlineStr">
        <is>
          <t>A 38642-2024</t>
        </is>
      </c>
      <c r="B33" s="1" t="n">
        <v>45546</v>
      </c>
      <c r="C33" s="1" t="n">
        <v>45875</v>
      </c>
      <c r="D33" t="inlineStr">
        <is>
          <t>HALLANDS LÄN</t>
        </is>
      </c>
      <c r="E33" t="inlineStr">
        <is>
          <t>VARBERG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HYPERLINK("https://klasma.github.io/Logging_1383/artfynd/A 38642-2024 artfynd.xlsx", "A 38642-2024")</f>
        <v/>
      </c>
      <c r="T33">
        <f>HYPERLINK("https://klasma.github.io/Logging_1383/kartor/A 38642-2024 karta.png", "A 38642-2024")</f>
        <v/>
      </c>
      <c r="V33">
        <f>HYPERLINK("https://klasma.github.io/Logging_1383/klagomål/A 38642-2024 FSC-klagomål.docx", "A 38642-2024")</f>
        <v/>
      </c>
      <c r="W33">
        <f>HYPERLINK("https://klasma.github.io/Logging_1383/klagomålsmail/A 38642-2024 FSC-klagomål mail.docx", "A 38642-2024")</f>
        <v/>
      </c>
      <c r="X33">
        <f>HYPERLINK("https://klasma.github.io/Logging_1383/tillsyn/A 38642-2024 tillsynsbegäran.docx", "A 38642-2024")</f>
        <v/>
      </c>
      <c r="Y33">
        <f>HYPERLINK("https://klasma.github.io/Logging_1383/tillsynsmail/A 38642-2024 tillsynsbegäran mail.docx", "A 38642-2024")</f>
        <v/>
      </c>
    </row>
    <row r="34" ht="15" customHeight="1">
      <c r="A34" t="inlineStr">
        <is>
          <t>A 10751-2025</t>
        </is>
      </c>
      <c r="B34" s="1" t="n">
        <v>45722</v>
      </c>
      <c r="C34" s="1" t="n">
        <v>45875</v>
      </c>
      <c r="D34" t="inlineStr">
        <is>
          <t>HALLANDS LÄN</t>
        </is>
      </c>
      <c r="E34" t="inlineStr">
        <is>
          <t>VARBERG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HYPERLINK("https://klasma.github.io/Logging_131383/artfynd/A 10751-2025 artfynd.xlsx", "A 10751-2025")</f>
        <v/>
      </c>
      <c r="T34">
        <f>HYPERLINK("https://klasma.github.io/Logging_131383/kartor/A 10751-2025 karta.png", "A 10751-2025")</f>
        <v/>
      </c>
      <c r="V34">
        <f>HYPERLINK("https://klasma.github.io/Logging_131383/klagomål/A 10751-2025 FSC-klagomål.docx", "A 10751-2025")</f>
        <v/>
      </c>
      <c r="W34">
        <f>HYPERLINK("https://klasma.github.io/Logging_131383/klagomålsmail/A 10751-2025 FSC-klagomål mail.docx", "A 10751-2025")</f>
        <v/>
      </c>
      <c r="X34">
        <f>HYPERLINK("https://klasma.github.io/Logging_131383/tillsyn/A 10751-2025 tillsynsbegäran.docx", "A 10751-2025")</f>
        <v/>
      </c>
      <c r="Y34">
        <f>HYPERLINK("https://klasma.github.io/Logging_131383/tillsynsmail/A 10751-2025 tillsynsbegäran mail.docx", "A 10751-2025")</f>
        <v/>
      </c>
    </row>
    <row r="35" ht="15" customHeight="1">
      <c r="A35" t="inlineStr">
        <is>
          <t>A 13093-2025</t>
        </is>
      </c>
      <c r="B35" s="1" t="n">
        <v>45734</v>
      </c>
      <c r="C35" s="1" t="n">
        <v>45875</v>
      </c>
      <c r="D35" t="inlineStr">
        <is>
          <t>HALLANDS LÄN</t>
        </is>
      </c>
      <c r="E35" t="inlineStr">
        <is>
          <t>VARBERG</t>
        </is>
      </c>
      <c r="F35" t="inlineStr">
        <is>
          <t>Kyrkan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HYPERLINK("https://klasma.github.io/Logging_131383/artfynd/A 13093-2025 artfynd.xlsx", "A 13093-2025")</f>
        <v/>
      </c>
      <c r="T35">
        <f>HYPERLINK("https://klasma.github.io/Logging_131383/kartor/A 13093-2025 karta.png", "A 13093-2025")</f>
        <v/>
      </c>
      <c r="V35">
        <f>HYPERLINK("https://klasma.github.io/Logging_131383/klagomål/A 13093-2025 FSC-klagomål.docx", "A 13093-2025")</f>
        <v/>
      </c>
      <c r="W35">
        <f>HYPERLINK("https://klasma.github.io/Logging_131383/klagomålsmail/A 13093-2025 FSC-klagomål mail.docx", "A 13093-2025")</f>
        <v/>
      </c>
      <c r="X35">
        <f>HYPERLINK("https://klasma.github.io/Logging_131383/tillsyn/A 13093-2025 tillsynsbegäran.docx", "A 13093-2025")</f>
        <v/>
      </c>
      <c r="Y35">
        <f>HYPERLINK("https://klasma.github.io/Logging_131383/tillsynsmail/A 13093-2025 tillsynsbegäran mail.docx", "A 13093-2025")</f>
        <v/>
      </c>
    </row>
    <row r="36" ht="15" customHeight="1">
      <c r="A36" t="inlineStr">
        <is>
          <t>A 15103-2025</t>
        </is>
      </c>
      <c r="B36" s="1" t="n">
        <v>45744</v>
      </c>
      <c r="C36" s="1" t="n">
        <v>45875</v>
      </c>
      <c r="D36" t="inlineStr">
        <is>
          <t>HALLANDS LÄN</t>
        </is>
      </c>
      <c r="E36" t="inlineStr">
        <is>
          <t>VARBERG</t>
        </is>
      </c>
      <c r="G36" t="n">
        <v>1.2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HYPERLINK("https://klasma.github.io/Logging_131383/artfynd/A 15103-2025 artfynd.xlsx", "A 15103-2025")</f>
        <v/>
      </c>
      <c r="T36">
        <f>HYPERLINK("https://klasma.github.io/Logging_131383/kartor/A 15103-2025 karta.png", "A 15103-2025")</f>
        <v/>
      </c>
      <c r="V36">
        <f>HYPERLINK("https://klasma.github.io/Logging_131383/klagomål/A 15103-2025 FSC-klagomål.docx", "A 15103-2025")</f>
        <v/>
      </c>
      <c r="W36">
        <f>HYPERLINK("https://klasma.github.io/Logging_131383/klagomålsmail/A 15103-2025 FSC-klagomål mail.docx", "A 15103-2025")</f>
        <v/>
      </c>
      <c r="X36">
        <f>HYPERLINK("https://klasma.github.io/Logging_131383/tillsyn/A 15103-2025 tillsynsbegäran.docx", "A 15103-2025")</f>
        <v/>
      </c>
      <c r="Y36">
        <f>HYPERLINK("https://klasma.github.io/Logging_131383/tillsynsmail/A 15103-2025 tillsynsbegäran mail.docx", "A 15103-2025")</f>
        <v/>
      </c>
    </row>
    <row r="37" ht="15" customHeight="1">
      <c r="A37" t="inlineStr">
        <is>
          <t>A 33144-2025</t>
        </is>
      </c>
      <c r="B37" s="1" t="n">
        <v>45840</v>
      </c>
      <c r="C37" s="1" t="n">
        <v>45875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HYPERLINK("https://klasma.github.io/Logging_131383/artfynd/A 33144-2025 artfynd.xlsx", "A 33144-2025")</f>
        <v/>
      </c>
      <c r="T37">
        <f>HYPERLINK("https://klasma.github.io/Logging_131383/kartor/A 33144-2025 karta.png", "A 33144-2025")</f>
        <v/>
      </c>
      <c r="V37">
        <f>HYPERLINK("https://klasma.github.io/Logging_131383/klagomål/A 33144-2025 FSC-klagomål.docx", "A 33144-2025")</f>
        <v/>
      </c>
      <c r="W37">
        <f>HYPERLINK("https://klasma.github.io/Logging_131383/klagomålsmail/A 33144-2025 FSC-klagomål mail.docx", "A 33144-2025")</f>
        <v/>
      </c>
      <c r="X37">
        <f>HYPERLINK("https://klasma.github.io/Logging_131383/tillsyn/A 33144-2025 tillsynsbegäran.docx", "A 33144-2025")</f>
        <v/>
      </c>
      <c r="Y37">
        <f>HYPERLINK("https://klasma.github.io/Logging_131383/tillsynsmail/A 33144-2025 tillsynsbegäran mail.docx", "A 33144-2025")</f>
        <v/>
      </c>
      <c r="Z37">
        <f>HYPERLINK("https://klasma.github.io/Logging_131383/fåglar/A 33144-2025 prioriterade fågelarter.docx", "A 33144-2025")</f>
        <v/>
      </c>
    </row>
    <row r="38" ht="15" customHeight="1">
      <c r="A38" t="inlineStr">
        <is>
          <t>A 18298-2019</t>
        </is>
      </c>
      <c r="B38" s="1" t="n">
        <v>43558</v>
      </c>
      <c r="C38" s="1" t="n">
        <v>45875</v>
      </c>
      <c r="D38" t="inlineStr">
        <is>
          <t>HALLANDS LÄN</t>
        </is>
      </c>
      <c r="E38" t="inlineStr">
        <is>
          <t>VARBERG</t>
        </is>
      </c>
      <c r="G38" t="n">
        <v>12.8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18297-2019</t>
        </is>
      </c>
      <c r="B39" s="1" t="n">
        <v>43558</v>
      </c>
      <c r="C39" s="1" t="n">
        <v>45875</v>
      </c>
      <c r="D39" t="inlineStr">
        <is>
          <t>HALLANDS LÄN</t>
        </is>
      </c>
      <c r="E39" t="inlineStr">
        <is>
          <t>VARBERG</t>
        </is>
      </c>
      <c r="G39" t="n">
        <v>13.6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18296-2019</t>
        </is>
      </c>
      <c r="B40" s="1" t="n">
        <v>43558</v>
      </c>
      <c r="C40" s="1" t="n">
        <v>45875</v>
      </c>
      <c r="D40" t="inlineStr">
        <is>
          <t>HALLANDS LÄN</t>
        </is>
      </c>
      <c r="E40" t="inlineStr">
        <is>
          <t>VARBERG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18306-2019</t>
        </is>
      </c>
      <c r="B41" s="1" t="n">
        <v>43558</v>
      </c>
      <c r="C41" s="1" t="n">
        <v>45875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20022-2019</t>
        </is>
      </c>
      <c r="B42" s="1" t="n">
        <v>43570</v>
      </c>
      <c r="C42" s="1" t="n">
        <v>45875</v>
      </c>
      <c r="D42" t="inlineStr">
        <is>
          <t>HALLANDS LÄN</t>
        </is>
      </c>
      <c r="E42" t="inlineStr">
        <is>
          <t>VARBERG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20146-2019</t>
        </is>
      </c>
      <c r="B43" s="1" t="n">
        <v>43570</v>
      </c>
      <c r="C43" s="1" t="n">
        <v>45875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20882-2019</t>
        </is>
      </c>
      <c r="B44" s="1" t="n">
        <v>43578</v>
      </c>
      <c r="C44" s="1" t="n">
        <v>45875</v>
      </c>
      <c r="D44" t="inlineStr">
        <is>
          <t>HALLANDS LÄN</t>
        </is>
      </c>
      <c r="E44" t="inlineStr">
        <is>
          <t>VARBERG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20878-2019</t>
        </is>
      </c>
      <c r="B45" s="1" t="n">
        <v>43578</v>
      </c>
      <c r="C45" s="1" t="n">
        <v>45875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21824-2019</t>
        </is>
      </c>
      <c r="B46" s="1" t="n">
        <v>43583</v>
      </c>
      <c r="C46" s="1" t="n">
        <v>45875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21944-2019</t>
        </is>
      </c>
      <c r="B47" s="1" t="n">
        <v>43584</v>
      </c>
      <c r="C47" s="1" t="n">
        <v>45875</v>
      </c>
      <c r="D47" t="inlineStr">
        <is>
          <t>HALLANDS LÄN</t>
        </is>
      </c>
      <c r="E47" t="inlineStr">
        <is>
          <t>VARBERG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24057-2019</t>
        </is>
      </c>
      <c r="B48" s="1" t="n">
        <v>43598</v>
      </c>
      <c r="C48" s="1" t="n">
        <v>45875</v>
      </c>
      <c r="D48" t="inlineStr">
        <is>
          <t>HALLANDS LÄN</t>
        </is>
      </c>
      <c r="E48" t="inlineStr">
        <is>
          <t>VARBERG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24232-2019</t>
        </is>
      </c>
      <c r="B49" s="1" t="n">
        <v>43599</v>
      </c>
      <c r="C49" s="1" t="n">
        <v>45875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24264-2019</t>
        </is>
      </c>
      <c r="B50" s="1" t="n">
        <v>43599</v>
      </c>
      <c r="C50" s="1" t="n">
        <v>45875</v>
      </c>
      <c r="D50" t="inlineStr">
        <is>
          <t>HALLANDS LÄN</t>
        </is>
      </c>
      <c r="E50" t="inlineStr">
        <is>
          <t>VARBERG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24269-2019</t>
        </is>
      </c>
      <c r="B51" s="1" t="n">
        <v>43599</v>
      </c>
      <c r="C51" s="1" t="n">
        <v>45875</v>
      </c>
      <c r="D51" t="inlineStr">
        <is>
          <t>HALLANDS LÄN</t>
        </is>
      </c>
      <c r="E51" t="inlineStr">
        <is>
          <t>VARBERG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24588-2019</t>
        </is>
      </c>
      <c r="B52" s="1" t="n">
        <v>43601</v>
      </c>
      <c r="C52" s="1" t="n">
        <v>45875</v>
      </c>
      <c r="D52" t="inlineStr">
        <is>
          <t>HALLANDS LÄN</t>
        </is>
      </c>
      <c r="E52" t="inlineStr">
        <is>
          <t>VARBERG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24587-2019</t>
        </is>
      </c>
      <c r="B53" s="1" t="n">
        <v>43601</v>
      </c>
      <c r="C53" s="1" t="n">
        <v>45875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26930-2019</t>
        </is>
      </c>
      <c r="B54" s="1" t="n">
        <v>43613</v>
      </c>
      <c r="C54" s="1" t="n">
        <v>45875</v>
      </c>
      <c r="D54" t="inlineStr">
        <is>
          <t>HALLANDS LÄN</t>
        </is>
      </c>
      <c r="E54" t="inlineStr">
        <is>
          <t>VARBERG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28305-2019</t>
        </is>
      </c>
      <c r="B55" s="1" t="n">
        <v>43623</v>
      </c>
      <c r="C55" s="1" t="n">
        <v>45875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29059-2019</t>
        </is>
      </c>
      <c r="B56" s="1" t="n">
        <v>43628</v>
      </c>
      <c r="C56" s="1" t="n">
        <v>45875</v>
      </c>
      <c r="D56" t="inlineStr">
        <is>
          <t>HALLANDS LÄN</t>
        </is>
      </c>
      <c r="E56" t="inlineStr">
        <is>
          <t>VARBERG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31800-2019</t>
        </is>
      </c>
      <c r="B57" s="1" t="n">
        <v>43642</v>
      </c>
      <c r="C57" s="1" t="n">
        <v>45875</v>
      </c>
      <c r="D57" t="inlineStr">
        <is>
          <t>HALLANDS LÄN</t>
        </is>
      </c>
      <c r="E57" t="inlineStr">
        <is>
          <t>VARBERG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32713-2019</t>
        </is>
      </c>
      <c r="B58" s="1" t="n">
        <v>43647</v>
      </c>
      <c r="C58" s="1" t="n">
        <v>45875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41810-2019</t>
        </is>
      </c>
      <c r="B59" s="1" t="n">
        <v>43697</v>
      </c>
      <c r="C59" s="1" t="n">
        <v>45875</v>
      </c>
      <c r="D59" t="inlineStr">
        <is>
          <t>HALLANDS LÄN</t>
        </is>
      </c>
      <c r="E59" t="inlineStr">
        <is>
          <t>VARBERG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41813-2019</t>
        </is>
      </c>
      <c r="B60" s="1" t="n">
        <v>43697</v>
      </c>
      <c r="C60" s="1" t="n">
        <v>45875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42194-2019</t>
        </is>
      </c>
      <c r="B61" s="1" t="n">
        <v>43698</v>
      </c>
      <c r="C61" s="1" t="n">
        <v>45875</v>
      </c>
      <c r="D61" t="inlineStr">
        <is>
          <t>HALLANDS LÄN</t>
        </is>
      </c>
      <c r="E61" t="inlineStr">
        <is>
          <t>VARBERG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43888-2019</t>
        </is>
      </c>
      <c r="B62" s="1" t="n">
        <v>43707</v>
      </c>
      <c r="C62" s="1" t="n">
        <v>45875</v>
      </c>
      <c r="D62" t="inlineStr">
        <is>
          <t>HALLANDS LÄN</t>
        </is>
      </c>
      <c r="E62" t="inlineStr">
        <is>
          <t>VARBERG</t>
        </is>
      </c>
      <c r="G62" t="n">
        <v>17.6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44927-2019</t>
        </is>
      </c>
      <c r="B63" s="1" t="n">
        <v>43713</v>
      </c>
      <c r="C63" s="1" t="n">
        <v>45875</v>
      </c>
      <c r="D63" t="inlineStr">
        <is>
          <t>HALLANDS LÄN</t>
        </is>
      </c>
      <c r="E63" t="inlineStr">
        <is>
          <t>VARBERG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46188-2019</t>
        </is>
      </c>
      <c r="B64" s="1" t="n">
        <v>43718</v>
      </c>
      <c r="C64" s="1" t="n">
        <v>45875</v>
      </c>
      <c r="D64" t="inlineStr">
        <is>
          <t>HALLANDS LÄN</t>
        </is>
      </c>
      <c r="E64" t="inlineStr">
        <is>
          <t>VARBERG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46181-2019</t>
        </is>
      </c>
      <c r="B65" s="1" t="n">
        <v>43718</v>
      </c>
      <c r="C65" s="1" t="n">
        <v>45875</v>
      </c>
      <c r="D65" t="inlineStr">
        <is>
          <t>HALLANDS LÄN</t>
        </is>
      </c>
      <c r="E65" t="inlineStr">
        <is>
          <t>VARBERG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46861-2019</t>
        </is>
      </c>
      <c r="B66" s="1" t="n">
        <v>43719</v>
      </c>
      <c r="C66" s="1" t="n">
        <v>45875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47597-2019</t>
        </is>
      </c>
      <c r="B67" s="1" t="n">
        <v>43724</v>
      </c>
      <c r="C67" s="1" t="n">
        <v>45875</v>
      </c>
      <c r="D67" t="inlineStr">
        <is>
          <t>HALLANDS LÄN</t>
        </is>
      </c>
      <c r="E67" t="inlineStr">
        <is>
          <t>VARBERG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48694-2019</t>
        </is>
      </c>
      <c r="B68" s="1" t="n">
        <v>43728</v>
      </c>
      <c r="C68" s="1" t="n">
        <v>45875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49072-2019</t>
        </is>
      </c>
      <c r="B69" s="1" t="n">
        <v>43731</v>
      </c>
      <c r="C69" s="1" t="n">
        <v>45875</v>
      </c>
      <c r="D69" t="inlineStr">
        <is>
          <t>HALLANDS LÄN</t>
        </is>
      </c>
      <c r="E69" t="inlineStr">
        <is>
          <t>VARBERG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52070-2019</t>
        </is>
      </c>
      <c r="B70" s="1" t="n">
        <v>43734</v>
      </c>
      <c r="C70" s="1" t="n">
        <v>45875</v>
      </c>
      <c r="D70" t="inlineStr">
        <is>
          <t>HALLANDS LÄN</t>
        </is>
      </c>
      <c r="E70" t="inlineStr">
        <is>
          <t>VARBERG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51965-2019</t>
        </is>
      </c>
      <c r="B71" s="1" t="n">
        <v>43742</v>
      </c>
      <c r="C71" s="1" t="n">
        <v>45875</v>
      </c>
      <c r="D71" t="inlineStr">
        <is>
          <t>HALLANDS LÄN</t>
        </is>
      </c>
      <c r="E71" t="inlineStr">
        <is>
          <t>VARBERG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52133-2019</t>
        </is>
      </c>
      <c r="B72" s="1" t="n">
        <v>43742</v>
      </c>
      <c r="C72" s="1" t="n">
        <v>45875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51964-2019</t>
        </is>
      </c>
      <c r="B73" s="1" t="n">
        <v>43742</v>
      </c>
      <c r="C73" s="1" t="n">
        <v>45875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53053-2019</t>
        </is>
      </c>
      <c r="B74" s="1" t="n">
        <v>43747</v>
      </c>
      <c r="C74" s="1" t="n">
        <v>45875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54444-2019</t>
        </is>
      </c>
      <c r="B75" s="1" t="n">
        <v>43747</v>
      </c>
      <c r="C75" s="1" t="n">
        <v>45875</v>
      </c>
      <c r="D75" t="inlineStr">
        <is>
          <t>HALLANDS LÄN</t>
        </is>
      </c>
      <c r="E75" t="inlineStr">
        <is>
          <t>VARBERG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54439-2019</t>
        </is>
      </c>
      <c r="B76" s="1" t="n">
        <v>43747</v>
      </c>
      <c r="C76" s="1" t="n">
        <v>45875</v>
      </c>
      <c r="D76" t="inlineStr">
        <is>
          <t>HALLANDS LÄN</t>
        </is>
      </c>
      <c r="E76" t="inlineStr">
        <is>
          <t>VARBERG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54646-2019</t>
        </is>
      </c>
      <c r="B77" s="1" t="n">
        <v>43748</v>
      </c>
      <c r="C77" s="1" t="n">
        <v>45875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53966-2019</t>
        </is>
      </c>
      <c r="B78" s="1" t="n">
        <v>43752</v>
      </c>
      <c r="C78" s="1" t="n">
        <v>45875</v>
      </c>
      <c r="D78" t="inlineStr">
        <is>
          <t>HALLANDS LÄN</t>
        </is>
      </c>
      <c r="E78" t="inlineStr">
        <is>
          <t>VARBERG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56247-2019</t>
        </is>
      </c>
      <c r="B79" s="1" t="n">
        <v>43762</v>
      </c>
      <c r="C79" s="1" t="n">
        <v>45875</v>
      </c>
      <c r="D79" t="inlineStr">
        <is>
          <t>HALLANDS LÄN</t>
        </is>
      </c>
      <c r="E79" t="inlineStr">
        <is>
          <t>VARBERG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56782-2019</t>
        </is>
      </c>
      <c r="B80" s="1" t="n">
        <v>43763</v>
      </c>
      <c r="C80" s="1" t="n">
        <v>45875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57076-2019</t>
        </is>
      </c>
      <c r="B81" s="1" t="n">
        <v>43766</v>
      </c>
      <c r="C81" s="1" t="n">
        <v>45875</v>
      </c>
      <c r="D81" t="inlineStr">
        <is>
          <t>HALLANDS LÄN</t>
        </is>
      </c>
      <c r="E81" t="inlineStr">
        <is>
          <t>VARBERG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60076-2019</t>
        </is>
      </c>
      <c r="B82" s="1" t="n">
        <v>43777</v>
      </c>
      <c r="C82" s="1" t="n">
        <v>45875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66210-2019</t>
        </is>
      </c>
      <c r="B83" s="1" t="n">
        <v>43808</v>
      </c>
      <c r="C83" s="1" t="n">
        <v>45875</v>
      </c>
      <c r="D83" t="inlineStr">
        <is>
          <t>HALLANDS LÄN</t>
        </is>
      </c>
      <c r="E83" t="inlineStr">
        <is>
          <t>VARBERG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66726-2019</t>
        </is>
      </c>
      <c r="B84" s="1" t="n">
        <v>43810</v>
      </c>
      <c r="C84" s="1" t="n">
        <v>45875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67180-2019</t>
        </is>
      </c>
      <c r="B85" s="1" t="n">
        <v>43811</v>
      </c>
      <c r="C85" s="1" t="n">
        <v>45875</v>
      </c>
      <c r="D85" t="inlineStr">
        <is>
          <t>HALLANDS LÄN</t>
        </is>
      </c>
      <c r="E85" t="inlineStr">
        <is>
          <t>VARBERG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67552-2019</t>
        </is>
      </c>
      <c r="B86" s="1" t="n">
        <v>43815</v>
      </c>
      <c r="C86" s="1" t="n">
        <v>45875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67551-2019</t>
        </is>
      </c>
      <c r="B87" s="1" t="n">
        <v>43815</v>
      </c>
      <c r="C87" s="1" t="n">
        <v>45875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68385-2019</t>
        </is>
      </c>
      <c r="B88" s="1" t="n">
        <v>43818</v>
      </c>
      <c r="C88" s="1" t="n">
        <v>45875</v>
      </c>
      <c r="D88" t="inlineStr">
        <is>
          <t>HALLANDS LÄN</t>
        </is>
      </c>
      <c r="E88" t="inlineStr">
        <is>
          <t>VARBERG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68378-2019</t>
        </is>
      </c>
      <c r="B89" s="1" t="n">
        <v>43818</v>
      </c>
      <c r="C89" s="1" t="n">
        <v>45875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1620-2020</t>
        </is>
      </c>
      <c r="B90" s="1" t="n">
        <v>43829</v>
      </c>
      <c r="C90" s="1" t="n">
        <v>45875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1763-2020</t>
        </is>
      </c>
      <c r="B91" s="1" t="n">
        <v>43844</v>
      </c>
      <c r="C91" s="1" t="n">
        <v>45875</v>
      </c>
      <c r="D91" t="inlineStr">
        <is>
          <t>HALLANDS LÄN</t>
        </is>
      </c>
      <c r="E91" t="inlineStr">
        <is>
          <t>VARBERG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2142-2020</t>
        </is>
      </c>
      <c r="B92" s="1" t="n">
        <v>43846</v>
      </c>
      <c r="C92" s="1" t="n">
        <v>45875</v>
      </c>
      <c r="D92" t="inlineStr">
        <is>
          <t>HALLANDS LÄN</t>
        </is>
      </c>
      <c r="E92" t="inlineStr">
        <is>
          <t>VARBERG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3755-2020</t>
        </is>
      </c>
      <c r="B93" s="1" t="n">
        <v>43854</v>
      </c>
      <c r="C93" s="1" t="n">
        <v>45875</v>
      </c>
      <c r="D93" t="inlineStr">
        <is>
          <t>HALLANDS LÄN</t>
        </is>
      </c>
      <c r="E93" t="inlineStr">
        <is>
          <t>VARBERG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3777-2020</t>
        </is>
      </c>
      <c r="B94" s="1" t="n">
        <v>43854</v>
      </c>
      <c r="C94" s="1" t="n">
        <v>45875</v>
      </c>
      <c r="D94" t="inlineStr">
        <is>
          <t>HALLANDS LÄN</t>
        </is>
      </c>
      <c r="E94" t="inlineStr">
        <is>
          <t>VARBERG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3759-2020</t>
        </is>
      </c>
      <c r="B95" s="1" t="n">
        <v>43854</v>
      </c>
      <c r="C95" s="1" t="n">
        <v>45875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5582-2020</t>
        </is>
      </c>
      <c r="B96" s="1" t="n">
        <v>43861</v>
      </c>
      <c r="C96" s="1" t="n">
        <v>45875</v>
      </c>
      <c r="D96" t="inlineStr">
        <is>
          <t>HALLANDS LÄN</t>
        </is>
      </c>
      <c r="E96" t="inlineStr">
        <is>
          <t>VARBERG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5837-2020</t>
        </is>
      </c>
      <c r="B97" s="1" t="n">
        <v>43864</v>
      </c>
      <c r="C97" s="1" t="n">
        <v>45875</v>
      </c>
      <c r="D97" t="inlineStr">
        <is>
          <t>HALLANDS LÄN</t>
        </is>
      </c>
      <c r="E97" t="inlineStr">
        <is>
          <t>VARBERG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6050-2020</t>
        </is>
      </c>
      <c r="B98" s="1" t="n">
        <v>43865</v>
      </c>
      <c r="C98" s="1" t="n">
        <v>45875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7074-2020</t>
        </is>
      </c>
      <c r="B99" s="1" t="n">
        <v>43868</v>
      </c>
      <c r="C99" s="1" t="n">
        <v>45875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7848-2020</t>
        </is>
      </c>
      <c r="B100" s="1" t="n">
        <v>43873</v>
      </c>
      <c r="C100" s="1" t="n">
        <v>45875</v>
      </c>
      <c r="D100" t="inlineStr">
        <is>
          <t>HALLANDS LÄN</t>
        </is>
      </c>
      <c r="E100" t="inlineStr">
        <is>
          <t>VARBERG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10592-2020</t>
        </is>
      </c>
      <c r="B101" s="1" t="n">
        <v>43887</v>
      </c>
      <c r="C101" s="1" t="n">
        <v>45875</v>
      </c>
      <c r="D101" t="inlineStr">
        <is>
          <t>HALLANDS LÄN</t>
        </is>
      </c>
      <c r="E101" t="inlineStr">
        <is>
          <t>VARBERG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10617-2020</t>
        </is>
      </c>
      <c r="B102" s="1" t="n">
        <v>43887</v>
      </c>
      <c r="C102" s="1" t="n">
        <v>45875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10611-2020</t>
        </is>
      </c>
      <c r="B103" s="1" t="n">
        <v>43887</v>
      </c>
      <c r="C103" s="1" t="n">
        <v>45875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11734-2020</t>
        </is>
      </c>
      <c r="B104" s="1" t="n">
        <v>43894</v>
      </c>
      <c r="C104" s="1" t="n">
        <v>45875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12019-2020</t>
        </is>
      </c>
      <c r="B105" s="1" t="n">
        <v>43894</v>
      </c>
      <c r="C105" s="1" t="n">
        <v>45875</v>
      </c>
      <c r="D105" t="inlineStr">
        <is>
          <t>HALLANDS LÄN</t>
        </is>
      </c>
      <c r="E105" t="inlineStr">
        <is>
          <t>VARBERG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12017-2020</t>
        </is>
      </c>
      <c r="B106" s="1" t="n">
        <v>43894</v>
      </c>
      <c r="C106" s="1" t="n">
        <v>45875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12015-2020</t>
        </is>
      </c>
      <c r="B107" s="1" t="n">
        <v>43894</v>
      </c>
      <c r="C107" s="1" t="n">
        <v>45875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12071-2020</t>
        </is>
      </c>
      <c r="B108" s="1" t="n">
        <v>43895</v>
      </c>
      <c r="C108" s="1" t="n">
        <v>45875</v>
      </c>
      <c r="D108" t="inlineStr">
        <is>
          <t>HALLANDS LÄN</t>
        </is>
      </c>
      <c r="E108" t="inlineStr">
        <is>
          <t>VARBERG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12448-2020</t>
        </is>
      </c>
      <c r="B109" s="1" t="n">
        <v>43896</v>
      </c>
      <c r="C109" s="1" t="n">
        <v>45875</v>
      </c>
      <c r="D109" t="inlineStr">
        <is>
          <t>HALLANDS LÄN</t>
        </is>
      </c>
      <c r="E109" t="inlineStr">
        <is>
          <t>VARBERG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12947-2020</t>
        </is>
      </c>
      <c r="B110" s="1" t="n">
        <v>43900</v>
      </c>
      <c r="C110" s="1" t="n">
        <v>45875</v>
      </c>
      <c r="D110" t="inlineStr">
        <is>
          <t>HALLANDS LÄN</t>
        </is>
      </c>
      <c r="E110" t="inlineStr">
        <is>
          <t>VARBERG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14474-2020</t>
        </is>
      </c>
      <c r="B111" s="1" t="n">
        <v>43908</v>
      </c>
      <c r="C111" s="1" t="n">
        <v>45875</v>
      </c>
      <c r="D111" t="inlineStr">
        <is>
          <t>HALLANDS LÄN</t>
        </is>
      </c>
      <c r="E111" t="inlineStr">
        <is>
          <t>VARBERG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16612-2020</t>
        </is>
      </c>
      <c r="B112" s="1" t="n">
        <v>43920</v>
      </c>
      <c r="C112" s="1" t="n">
        <v>45875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16632-2020</t>
        </is>
      </c>
      <c r="B113" s="1" t="n">
        <v>43920</v>
      </c>
      <c r="C113" s="1" t="n">
        <v>45875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16959-2020</t>
        </is>
      </c>
      <c r="B114" s="1" t="n">
        <v>43921</v>
      </c>
      <c r="C114" s="1" t="n">
        <v>45875</v>
      </c>
      <c r="D114" t="inlineStr">
        <is>
          <t>HALLANDS LÄN</t>
        </is>
      </c>
      <c r="E114" t="inlineStr">
        <is>
          <t>VARBERG</t>
        </is>
      </c>
      <c r="F114" t="inlineStr">
        <is>
          <t>Övriga statliga verk och myndigheter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17323-2020</t>
        </is>
      </c>
      <c r="B115" s="1" t="n">
        <v>43922</v>
      </c>
      <c r="C115" s="1" t="n">
        <v>45875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17324-2020</t>
        </is>
      </c>
      <c r="B116" s="1" t="n">
        <v>43922</v>
      </c>
      <c r="C116" s="1" t="n">
        <v>45875</v>
      </c>
      <c r="D116" t="inlineStr">
        <is>
          <t>HALLANDS LÄN</t>
        </is>
      </c>
      <c r="E116" t="inlineStr">
        <is>
          <t>VARBERG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19739-2020</t>
        </is>
      </c>
      <c r="B117" s="1" t="n">
        <v>43942</v>
      </c>
      <c r="C117" s="1" t="n">
        <v>45875</v>
      </c>
      <c r="D117" t="inlineStr">
        <is>
          <t>HALLANDS LÄN</t>
        </is>
      </c>
      <c r="E117" t="inlineStr">
        <is>
          <t>VARBERG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20589-2020</t>
        </is>
      </c>
      <c r="B118" s="1" t="n">
        <v>43948</v>
      </c>
      <c r="C118" s="1" t="n">
        <v>45875</v>
      </c>
      <c r="D118" t="inlineStr">
        <is>
          <t>HALLANDS LÄN</t>
        </is>
      </c>
      <c r="E118" t="inlineStr">
        <is>
          <t>VARBERG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20588-2020</t>
        </is>
      </c>
      <c r="B119" s="1" t="n">
        <v>43948</v>
      </c>
      <c r="C119" s="1" t="n">
        <v>45875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20777-2020</t>
        </is>
      </c>
      <c r="B120" s="1" t="n">
        <v>43949</v>
      </c>
      <c r="C120" s="1" t="n">
        <v>45875</v>
      </c>
      <c r="D120" t="inlineStr">
        <is>
          <t>HALLANDS LÄN</t>
        </is>
      </c>
      <c r="E120" t="inlineStr">
        <is>
          <t>VARBERG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22801-2020</t>
        </is>
      </c>
      <c r="B121" s="1" t="n">
        <v>43964</v>
      </c>
      <c r="C121" s="1" t="n">
        <v>45875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22764-2020</t>
        </is>
      </c>
      <c r="B122" s="1" t="n">
        <v>43964</v>
      </c>
      <c r="C122" s="1" t="n">
        <v>45875</v>
      </c>
      <c r="D122" t="inlineStr">
        <is>
          <t>HALLANDS LÄN</t>
        </is>
      </c>
      <c r="E122" t="inlineStr">
        <is>
          <t>VARBERG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23003-2020</t>
        </is>
      </c>
      <c r="B123" s="1" t="n">
        <v>43965</v>
      </c>
      <c r="C123" s="1" t="n">
        <v>45875</v>
      </c>
      <c r="D123" t="inlineStr">
        <is>
          <t>HALLANDS LÄN</t>
        </is>
      </c>
      <c r="E123" t="inlineStr">
        <is>
          <t>VARBERG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23852-2020</t>
        </is>
      </c>
      <c r="B124" s="1" t="n">
        <v>43971</v>
      </c>
      <c r="C124" s="1" t="n">
        <v>45875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25083-2020</t>
        </is>
      </c>
      <c r="B125" s="1" t="n">
        <v>43979</v>
      </c>
      <c r="C125" s="1" t="n">
        <v>45875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25371-2020</t>
        </is>
      </c>
      <c r="B126" s="1" t="n">
        <v>43980</v>
      </c>
      <c r="C126" s="1" t="n">
        <v>45875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26692-2020</t>
        </is>
      </c>
      <c r="B127" s="1" t="n">
        <v>43990</v>
      </c>
      <c r="C127" s="1" t="n">
        <v>45875</v>
      </c>
      <c r="D127" t="inlineStr">
        <is>
          <t>HALLANDS LÄN</t>
        </is>
      </c>
      <c r="E127" t="inlineStr">
        <is>
          <t>VARBERG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27386-2020</t>
        </is>
      </c>
      <c r="B128" s="1" t="n">
        <v>43992</v>
      </c>
      <c r="C128" s="1" t="n">
        <v>45875</v>
      </c>
      <c r="D128" t="inlineStr">
        <is>
          <t>HALLANDS LÄN</t>
        </is>
      </c>
      <c r="E128" t="inlineStr">
        <is>
          <t>VARBERG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32083-2020</t>
        </is>
      </c>
      <c r="B129" s="1" t="n">
        <v>44015</v>
      </c>
      <c r="C129" s="1" t="n">
        <v>45875</v>
      </c>
      <c r="D129" t="inlineStr">
        <is>
          <t>HALLANDS LÄN</t>
        </is>
      </c>
      <c r="E129" t="inlineStr">
        <is>
          <t>VARBERG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32086-2020</t>
        </is>
      </c>
      <c r="B130" s="1" t="n">
        <v>44015</v>
      </c>
      <c r="C130" s="1" t="n">
        <v>45875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32557-2020</t>
        </is>
      </c>
      <c r="B131" s="1" t="n">
        <v>44018</v>
      </c>
      <c r="C131" s="1" t="n">
        <v>45875</v>
      </c>
      <c r="D131" t="inlineStr">
        <is>
          <t>HALLANDS LÄN</t>
        </is>
      </c>
      <c r="E131" t="inlineStr">
        <is>
          <t>VARBERG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33599-2020</t>
        </is>
      </c>
      <c r="B132" s="1" t="n">
        <v>44025</v>
      </c>
      <c r="C132" s="1" t="n">
        <v>45875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37539-2020</t>
        </is>
      </c>
      <c r="B133" s="1" t="n">
        <v>44056</v>
      </c>
      <c r="C133" s="1" t="n">
        <v>45875</v>
      </c>
      <c r="D133" t="inlineStr">
        <is>
          <t>HALLANDS LÄN</t>
        </is>
      </c>
      <c r="E133" t="inlineStr">
        <is>
          <t>VARBERG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37607-2020</t>
        </is>
      </c>
      <c r="B134" s="1" t="n">
        <v>44056</v>
      </c>
      <c r="C134" s="1" t="n">
        <v>45875</v>
      </c>
      <c r="D134" t="inlineStr">
        <is>
          <t>HALLANDS LÄN</t>
        </is>
      </c>
      <c r="E134" t="inlineStr">
        <is>
          <t>VARBERG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39247-2020</t>
        </is>
      </c>
      <c r="B135" s="1" t="n">
        <v>44063</v>
      </c>
      <c r="C135" s="1" t="n">
        <v>45875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39232-2020</t>
        </is>
      </c>
      <c r="B136" s="1" t="n">
        <v>44063</v>
      </c>
      <c r="C136" s="1" t="n">
        <v>45875</v>
      </c>
      <c r="D136" t="inlineStr">
        <is>
          <t>HALLANDS LÄN</t>
        </is>
      </c>
      <c r="E136" t="inlineStr">
        <is>
          <t>VARBERG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42246-2020</t>
        </is>
      </c>
      <c r="B137" s="1" t="n">
        <v>44067</v>
      </c>
      <c r="C137" s="1" t="n">
        <v>45875</v>
      </c>
      <c r="D137" t="inlineStr">
        <is>
          <t>HALLANDS LÄN</t>
        </is>
      </c>
      <c r="E137" t="inlineStr">
        <is>
          <t>VARBERG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47741-2020</t>
        </is>
      </c>
      <c r="B138" s="1" t="n">
        <v>44098</v>
      </c>
      <c r="C138" s="1" t="n">
        <v>45875</v>
      </c>
      <c r="D138" t="inlineStr">
        <is>
          <t>HALLANDS LÄN</t>
        </is>
      </c>
      <c r="E138" t="inlineStr">
        <is>
          <t>VARBERG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48120-2020</t>
        </is>
      </c>
      <c r="B139" s="1" t="n">
        <v>44102</v>
      </c>
      <c r="C139" s="1" t="n">
        <v>45875</v>
      </c>
      <c r="D139" t="inlineStr">
        <is>
          <t>HALLANDS LÄN</t>
        </is>
      </c>
      <c r="E139" t="inlineStr">
        <is>
          <t>VARBERG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48694-2020</t>
        </is>
      </c>
      <c r="B140" s="1" t="n">
        <v>44103</v>
      </c>
      <c r="C140" s="1" t="n">
        <v>45875</v>
      </c>
      <c r="D140" t="inlineStr">
        <is>
          <t>HALLANDS LÄN</t>
        </is>
      </c>
      <c r="E140" t="inlineStr">
        <is>
          <t>VARBERG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50246-2020</t>
        </is>
      </c>
      <c r="B141" s="1" t="n">
        <v>44109</v>
      </c>
      <c r="C141" s="1" t="n">
        <v>45875</v>
      </c>
      <c r="D141" t="inlineStr">
        <is>
          <t>HALLANDS LÄN</t>
        </is>
      </c>
      <c r="E141" t="inlineStr">
        <is>
          <t>VARBERG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51553-2020</t>
        </is>
      </c>
      <c r="B142" s="1" t="n">
        <v>44113</v>
      </c>
      <c r="C142" s="1" t="n">
        <v>45875</v>
      </c>
      <c r="D142" t="inlineStr">
        <is>
          <t>HALLANDS LÄN</t>
        </is>
      </c>
      <c r="E142" t="inlineStr">
        <is>
          <t>VARBERG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51566-2020</t>
        </is>
      </c>
      <c r="B143" s="1" t="n">
        <v>44113</v>
      </c>
      <c r="C143" s="1" t="n">
        <v>45875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53217-2020</t>
        </is>
      </c>
      <c r="B144" s="1" t="n">
        <v>44123</v>
      </c>
      <c r="C144" s="1" t="n">
        <v>45875</v>
      </c>
      <c r="D144" t="inlineStr">
        <is>
          <t>HALLANDS LÄN</t>
        </is>
      </c>
      <c r="E144" t="inlineStr">
        <is>
          <t>VARBERG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53513-2020</t>
        </is>
      </c>
      <c r="B145" s="1" t="n">
        <v>44124</v>
      </c>
      <c r="C145" s="1" t="n">
        <v>45875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56981-2020</t>
        </is>
      </c>
      <c r="B146" s="1" t="n">
        <v>44138</v>
      </c>
      <c r="C146" s="1" t="n">
        <v>45875</v>
      </c>
      <c r="D146" t="inlineStr">
        <is>
          <t>HALLANDS LÄN</t>
        </is>
      </c>
      <c r="E146" t="inlineStr">
        <is>
          <t>VARBERG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57615-2020</t>
        </is>
      </c>
      <c r="B147" s="1" t="n">
        <v>44140</v>
      </c>
      <c r="C147" s="1" t="n">
        <v>45875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45875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45875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45875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45875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45875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45875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45875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45875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45875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45875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45875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45875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45875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45875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45875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45875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45875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45875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45875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45875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45875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45875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45875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45875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45875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45875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45875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45875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45875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45875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45875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45875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45875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45875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45875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45875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45875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45875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45875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45875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45875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45875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45875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45875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45875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45875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45875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45875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45875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45875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45875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45875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45875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45875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45875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45875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45875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45875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45875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45875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45875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45875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45875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45875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45875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45875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45875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45875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45875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45875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45875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45875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45875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45875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45875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45875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45875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45875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45875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45875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45875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45875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45875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45875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45875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45875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45875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45875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45875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45875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45875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45875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45875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45875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45875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45875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45875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45875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45875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45875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45875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45875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45875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45875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45875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45875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45875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45875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45875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45875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45875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45875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45875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45875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45875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45875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45875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45875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45875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45875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45875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45875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45875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45875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45875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45875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45875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45875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45875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45875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45875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45875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45875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45875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45875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45875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45875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45875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45875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45875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45875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45875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45875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45875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45875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45875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45875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45875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45875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45875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45875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45875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45875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45875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45875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45875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45875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45875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45875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45875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45875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45875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45875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45875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45875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45875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45875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45875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45875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45875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45875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45875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45875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45875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45875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45875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45875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45875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45875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45875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45875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45875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45875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45875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45875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45875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45875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45875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45875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45875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45875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45875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45875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45875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45875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45875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45875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45875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45875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45875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45875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45875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45875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45875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45875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45875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45875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45875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45875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45875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45875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45875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45875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45875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45875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45875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45875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45875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45875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45875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45875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45875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45875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45875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45875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45875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45875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45875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45875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45875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45875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45875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45875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45875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45875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45875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45875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45875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45875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45875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45875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45875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45875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45875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45875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45875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45875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45875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45875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45875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45875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45875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45875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45875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45875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45875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45875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45875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45875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45875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45875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45875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45875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45875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45875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45875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45875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45875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45875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45875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45875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45875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45875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45875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45875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45875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45875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45875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45875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45875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45875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45875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45875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45875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45875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45875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45875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45875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45875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45875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45875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45875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45875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45875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45875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45875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45875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45875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45875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45875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45875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45875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45875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45875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45875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45875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45875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45875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45875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45875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45875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45875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45875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45875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45875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45875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45875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45875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45875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45875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45875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45875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45875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45875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45875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45875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45875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45875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45875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45875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45875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45875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45875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45875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45875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45875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45875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45875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45875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45875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45875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45875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45875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45875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45875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45875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45875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45875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45875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45875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45875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45875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45875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45875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45875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45875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45875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45875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45875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45875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45875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45875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45875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45875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45875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45875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45875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45875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45875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45875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45875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45875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45875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45875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45875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45875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45875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45875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45875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45875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45875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45875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45875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45875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45875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45875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45875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45875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45875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45875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45875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45875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45875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45875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45875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45875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45875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45875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45875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45875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45875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45875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45875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45875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45875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45875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45875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45875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45875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45875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45875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45875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45875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45875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45875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45875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45875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45875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45875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45875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45875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45875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45875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45875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45875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45875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45875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45875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45875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45875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45875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45875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45875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45875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45875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45875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45875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45875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45875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45875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45875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45875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45875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45875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45875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45875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45875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45875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45875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45875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45875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45875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45875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45875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45875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45875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45875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45875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45875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45875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45875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45875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45875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45875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45875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45875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45875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45875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45875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45875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45875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45875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45875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45875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45875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45875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45875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45875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45875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45875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45875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45875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45875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45875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45875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45875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45875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45875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45875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45875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45875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45875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45875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45875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45875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45875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45875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45875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45875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45875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45875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45875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45875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45875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45875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45875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45875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45875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45875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45875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45875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45875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45875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45875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45875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45875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45875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45875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45875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45875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45875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45875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45875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45875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45875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45875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45875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45875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45875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45875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45875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45875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45875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45875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45875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45875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45875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45875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45875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45875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45875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45875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45875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45875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45875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45875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45875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45875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45875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45875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45875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45875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45875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45875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45875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45875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45875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45875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45875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45875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45875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45875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45875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45875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45875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45875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45875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45875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45875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45875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45875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45875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45875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45875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45875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45875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45875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45875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45875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45875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45875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45875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45875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45875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45875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45875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45875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45875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45875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45875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45875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45875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45875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45875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45875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45875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45875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45875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45875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45875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45875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45875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45875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45875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45875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45875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45875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45875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45875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45875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45875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45875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45875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45875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45875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45875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45875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45875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45875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45875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45875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45875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45875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45875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45875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45875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45875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45875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45875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45875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45875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45875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45875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45875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45875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45875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45875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45875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45875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45875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45875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45875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45875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45875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45875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45875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45875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45875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45875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45875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45875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45875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45875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45875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45875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45875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45875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45875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45875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45875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45875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29297-2025</t>
        </is>
      </c>
      <c r="B809" s="1" t="n">
        <v>45824</v>
      </c>
      <c r="C809" s="1" t="n">
        <v>45875</v>
      </c>
      <c r="D809" t="inlineStr">
        <is>
          <t>HALLANDS LÄN</t>
        </is>
      </c>
      <c r="E809" t="inlineStr">
        <is>
          <t>VARBERG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29364-2025</t>
        </is>
      </c>
      <c r="B810" s="1" t="n">
        <v>45824</v>
      </c>
      <c r="C810" s="1" t="n">
        <v>45875</v>
      </c>
      <c r="D810" t="inlineStr">
        <is>
          <t>HALLANDS LÄN</t>
        </is>
      </c>
      <c r="E810" t="inlineStr">
        <is>
          <t>VARBERG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29630-2025</t>
        </is>
      </c>
      <c r="B811" s="1" t="n">
        <v>45825</v>
      </c>
      <c r="C811" s="1" t="n">
        <v>45875</v>
      </c>
      <c r="D811" t="inlineStr">
        <is>
          <t>HALLANDS LÄN</t>
        </is>
      </c>
      <c r="E811" t="inlineStr">
        <is>
          <t>VARBERG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29634-2025</t>
        </is>
      </c>
      <c r="B812" s="1" t="n">
        <v>45825</v>
      </c>
      <c r="C812" s="1" t="n">
        <v>45875</v>
      </c>
      <c r="D812" t="inlineStr">
        <is>
          <t>HALLANDS LÄN</t>
        </is>
      </c>
      <c r="E812" t="inlineStr">
        <is>
          <t>VARBERG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32009-2025</t>
        </is>
      </c>
      <c r="B813" s="1" t="n">
        <v>45835</v>
      </c>
      <c r="C813" s="1" t="n">
        <v>45875</v>
      </c>
      <c r="D813" t="inlineStr">
        <is>
          <t>HALLANDS LÄN</t>
        </is>
      </c>
      <c r="E813" t="inlineStr">
        <is>
          <t>VARBERG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32307-2025</t>
        </is>
      </c>
      <c r="B814" s="1" t="n">
        <v>45835</v>
      </c>
      <c r="C814" s="1" t="n">
        <v>45875</v>
      </c>
      <c r="D814" t="inlineStr">
        <is>
          <t>HALLANDS LÄN</t>
        </is>
      </c>
      <c r="E814" t="inlineStr">
        <is>
          <t>VARBERG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32979-2025</t>
        </is>
      </c>
      <c r="B815" s="1" t="n">
        <v>45839</v>
      </c>
      <c r="C815" s="1" t="n">
        <v>45875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32978-2025</t>
        </is>
      </c>
      <c r="B816" s="1" t="n">
        <v>45839</v>
      </c>
      <c r="C816" s="1" t="n">
        <v>45875</v>
      </c>
      <c r="D816" t="inlineStr">
        <is>
          <t>HALLANDS LÄN</t>
        </is>
      </c>
      <c r="E816" t="inlineStr">
        <is>
          <t>VARBERG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34028-2025</t>
        </is>
      </c>
      <c r="B817" s="1" t="n">
        <v>45845</v>
      </c>
      <c r="C817" s="1" t="n">
        <v>45875</v>
      </c>
      <c r="D817" t="inlineStr">
        <is>
          <t>HALLANDS LÄN</t>
        </is>
      </c>
      <c r="E817" t="inlineStr">
        <is>
          <t>VARBERG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34949-2025</t>
        </is>
      </c>
      <c r="B818" s="1" t="n">
        <v>45849</v>
      </c>
      <c r="C818" s="1" t="n">
        <v>45875</v>
      </c>
      <c r="D818" t="inlineStr">
        <is>
          <t>HALLANDS LÄN</t>
        </is>
      </c>
      <c r="E818" t="inlineStr">
        <is>
          <t>VARBERG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35018-2025</t>
        </is>
      </c>
      <c r="B819" s="1" t="n">
        <v>45851</v>
      </c>
      <c r="C819" s="1" t="n">
        <v>45875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35116-2025</t>
        </is>
      </c>
      <c r="B820" s="1" t="n">
        <v>45852</v>
      </c>
      <c r="C820" s="1" t="n">
        <v>45875</v>
      </c>
      <c r="D820" t="inlineStr">
        <is>
          <t>HALLANDS LÄN</t>
        </is>
      </c>
      <c r="E820" t="inlineStr">
        <is>
          <t>VARBERG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35059-2025</t>
        </is>
      </c>
      <c r="B821" s="1" t="n">
        <v>45852</v>
      </c>
      <c r="C821" s="1" t="n">
        <v>45875</v>
      </c>
      <c r="D821" t="inlineStr">
        <is>
          <t>HALLANDS LÄN</t>
        </is>
      </c>
      <c r="E821" t="inlineStr">
        <is>
          <t>VARBERG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35124-2025</t>
        </is>
      </c>
      <c r="B822" s="1" t="n">
        <v>45852</v>
      </c>
      <c r="C822" s="1" t="n">
        <v>45875</v>
      </c>
      <c r="D822" t="inlineStr">
        <is>
          <t>HALLANDS LÄN</t>
        </is>
      </c>
      <c r="E822" t="inlineStr">
        <is>
          <t>VARBERG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35126-2025</t>
        </is>
      </c>
      <c r="B823" s="1" t="n">
        <v>45852</v>
      </c>
      <c r="C823" s="1" t="n">
        <v>45875</v>
      </c>
      <c r="D823" t="inlineStr">
        <is>
          <t>HALLANDS LÄN</t>
        </is>
      </c>
      <c r="E823" t="inlineStr">
        <is>
          <t>VARBERG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35338-2025</t>
        </is>
      </c>
      <c r="B824" s="1" t="n">
        <v>45854</v>
      </c>
      <c r="C824" s="1" t="n">
        <v>45875</v>
      </c>
      <c r="D824" t="inlineStr">
        <is>
          <t>HALLANDS LÄN</t>
        </is>
      </c>
      <c r="E824" t="inlineStr">
        <is>
          <t>VARBERG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36051-2025</t>
        </is>
      </c>
      <c r="B825" s="1" t="n">
        <v>45866</v>
      </c>
      <c r="C825" s="1" t="n">
        <v>45875</v>
      </c>
      <c r="D825" t="inlineStr">
        <is>
          <t>HALLANDS LÄN</t>
        </is>
      </c>
      <c r="E825" t="inlineStr">
        <is>
          <t>VARBERG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36481-2025</t>
        </is>
      </c>
      <c r="B826" s="1" t="n">
        <v>45869</v>
      </c>
      <c r="C826" s="1" t="n">
        <v>45875</v>
      </c>
      <c r="D826" t="inlineStr">
        <is>
          <t>HALLANDS LÄN</t>
        </is>
      </c>
      <c r="E826" t="inlineStr">
        <is>
          <t>VARBERG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36812-2025</t>
        </is>
      </c>
      <c r="B827" s="1" t="n">
        <v>45873</v>
      </c>
      <c r="C827" s="1" t="n">
        <v>45875</v>
      </c>
      <c r="D827" t="inlineStr">
        <is>
          <t>HALLANDS LÄN</t>
        </is>
      </c>
      <c r="E827" t="inlineStr">
        <is>
          <t>VARBERG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2025-08-06T19:56:30Z</dcterms:created>
  <dcterms:modified xmlns:dcterms="http://purl.org/dc/terms/" xmlns:xsi="http://www.w3.org/2001/XMLSchema-instance" xsi:type="dcterms:W3CDTF">2025-08-06T19:56:31Z</dcterms:modified>
</cp:coreProperties>
</file>