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46302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46302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46302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46302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46302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46302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46302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46302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46302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46302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46302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46302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46302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42573-2022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46302</v>
      </c>
      <c r="F24" t="inlineStr">
        <is>
          <t>HALLANDS LÄN</t>
        </is>
      </c>
      <c r="G24" t="inlineStr">
        <is>
          <t>VARBERG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Brun glada</t>
        </is>
      </c>
      <c r="W24">
        <f>HYPERLINK("https://klasma.github.io/Logging_1383/artfynd/A 42573-2022 artfynd.xlsx", "A 42573-2022")</f>
        <v/>
      </c>
      <c r="X24">
        <f>HYPERLINK("https://klasma.github.io/Logging_1383/kartor/A 42573-2022 karta.png", "A 42573-2022")</f>
        <v/>
      </c>
      <c r="Y24">
        <f>HYPERLINK("https://klasma.github.io/Logging_1383/kartor_geotiff/A 42573-2022 georefererad karta.tif", "A 42573-2022")</f>
        <v/>
      </c>
      <c r="AA24">
        <f>HYPERLINK("https://klasma.github.io/Logging_1383/klagomål/A 42573-2022 FSC-klagomål.docx", "A 42573-2022")</f>
        <v/>
      </c>
      <c r="AB24">
        <f>HYPERLINK("https://klasma.github.io/Logging_1383/klagomålsmail/A 42573-2022 FSC-klagomål mail.docx", "A 42573-2022")</f>
        <v/>
      </c>
      <c r="AC24">
        <f>HYPERLINK("https://klasma.github.io/Logging_1383/tillsyn/A 42573-2022 tillsynsbegäran.docx", "A 42573-2022")</f>
        <v/>
      </c>
      <c r="AD24">
        <f>HYPERLINK("https://klasma.github.io/Logging_1383/tillsynsmail/A 42573-2022 tillsynsbegäran mail.docx", "A 42573-2022")</f>
        <v/>
      </c>
      <c r="AE24">
        <f>HYPERLINK("https://klasma.github.io/Logging_1383/fåglar/A 42573-2022 prioriterade fågelarter.docx", "A 42573-2022")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46302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46302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15095-2025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46302</v>
      </c>
      <c r="F27" t="inlineStr">
        <is>
          <t>HALLANDS LÄN</t>
        </is>
      </c>
      <c r="G27" t="inlineStr">
        <is>
          <t>VARBERG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HYPERLINK("https://klasma.github.io/Logging_1383/artfynd/A 15095-2025 artfynd.xlsx", "A 15095-2025")</f>
        <v/>
      </c>
      <c r="X27">
        <f>HYPERLINK("https://klasma.github.io/Logging_1383/kartor/A 15095-2025 karta.png", "A 15095-2025")</f>
        <v/>
      </c>
      <c r="Y27">
        <f>HYPERLINK("https://klasma.github.io/Logging_1383/kartor_geotiff/A 15095-2025 georefererad karta.tif", "A 15095-2025")</f>
        <v/>
      </c>
      <c r="AA27">
        <f>HYPERLINK("https://klasma.github.io/Logging_1383/klagomål/A 15095-2025 FSC-klagomål.docx", "A 15095-2025")</f>
        <v/>
      </c>
      <c r="AB27">
        <f>HYPERLINK("https://klasma.github.io/Logging_1383/klagomålsmail/A 15095-2025 FSC-klagomål mail.docx", "A 15095-2025")</f>
        <v/>
      </c>
      <c r="AC27">
        <f>HYPERLINK("https://klasma.github.io/Logging_1383/tillsyn/A 15095-2025 tillsynsbegäran.docx", "A 15095-2025")</f>
        <v/>
      </c>
      <c r="AD27">
        <f>HYPERLINK("https://klasma.github.io/Logging_1383/tillsynsmail/A 15095-2025 tillsynsbegäran mail.docx", "A 15095-2025")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46302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46302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27103-2026 artfynd.xlsx", "A 27103-2026")</f>
        <v/>
      </c>
      <c r="X29">
        <f>HYPERLINK("https://klasma.github.io/Logging_1383/kartor/A 27103-2026 karta.png", "A 27103-2026")</f>
        <v/>
      </c>
      <c r="Y29">
        <f>HYPERLINK("https://klasma.github.io/Logging_1383/kartor_geotiff/A 27103-2026 georefererad karta.tif", "A 27103-2026")</f>
        <v/>
      </c>
      <c r="AA29">
        <f>HYPERLINK("https://klasma.github.io/Logging_1383/klagomål/A 27103-2026 FSC-klagomål.docx", "A 27103-2026")</f>
        <v/>
      </c>
      <c r="AB29">
        <f>HYPERLINK("https://klasma.github.io/Logging_1383/klagomålsmail/A 27103-2026 FSC-klagomål mail.docx", "A 27103-2026")</f>
        <v/>
      </c>
      <c r="AC29">
        <f>HYPERLINK("https://klasma.github.io/Logging_1383/tillsyn/A 27103-2026 tillsynsbegäran.docx", "A 27103-2026")</f>
        <v/>
      </c>
      <c r="AD29">
        <f>HYPERLINK("https://klasma.github.io/Logging_1383/tillsynsmail/A 27103-2026 tillsynsbegäran mail.docx", "A 27103-2026")</f>
        <v/>
      </c>
    </row>
    <row r="30" ht="15" customHeight="1">
      <c r="A30" t="inlineStr">
        <is>
          <t>A 7038-2024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46302</v>
      </c>
      <c r="F30" t="inlineStr">
        <is>
          <t>HALLANDS LÄN</t>
        </is>
      </c>
      <c r="G30" t="inlineStr">
        <is>
          <t>VARBERG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1</v>
      </c>
      <c r="V30" s="2" t="inlineStr">
        <is>
          <t>Dvärgjohannesört</t>
        </is>
      </c>
      <c r="W30">
        <f>HYPERLINK("https://klasma.github.io/Logging_1383/artfynd/A 7038-2024 artfynd.xlsx", "A 7038-2024")</f>
        <v/>
      </c>
      <c r="X30">
        <f>HYPERLINK("https://klasma.github.io/Logging_1383/kartor/A 7038-2024 karta.png", "A 7038-2024")</f>
        <v/>
      </c>
      <c r="Y30">
        <f>HYPERLINK("https://klasma.github.io/Logging_1383/kartor_geotiff/A 7038-2024 georefererad karta.tif", "A 7038-2024")</f>
        <v/>
      </c>
      <c r="AA30">
        <f>HYPERLINK("https://klasma.github.io/Logging_1383/klagomål/A 7038-2024 FSC-klagomål.docx", "A 7038-2024")</f>
        <v/>
      </c>
      <c r="AB30">
        <f>HYPERLINK("https://klasma.github.io/Logging_1383/klagomålsmail/A 7038-2024 FSC-klagomål mail.docx", "A 7038-2024")</f>
        <v/>
      </c>
      <c r="AC30">
        <f>HYPERLINK("https://klasma.github.io/Logging_1383/tillsyn/A 7038-2024 tillsynsbegäran.docx", "A 7038-2024")</f>
        <v/>
      </c>
      <c r="AD30">
        <f>HYPERLINK("https://klasma.github.io/Logging_1383/tillsynsmail/A 7038-2024 tillsynsbegäran mail.docx", "A 7038-2024")</f>
        <v/>
      </c>
    </row>
    <row r="31" ht="15" customHeight="1">
      <c r="A31" t="inlineStr">
        <is>
          <t>A 34833-2023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45141</v>
      </c>
      <c r="E31" s="1" t="n">
        <v>46302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HYPERLINK("https://klasma.github.io/Logging_1383/artfynd/A 34833-2023 artfynd.xlsx", "A 34833-2023")</f>
        <v/>
      </c>
      <c r="X31">
        <f>HYPERLINK("https://klasma.github.io/Logging_1383/kartor/A 34833-2023 karta.png", "A 34833-2023")</f>
        <v/>
      </c>
      <c r="Y31">
        <f>HYPERLINK("https://klasma.github.io/Logging_1383/kartor_geotiff/A 34833-2023 georefererad karta.tif", "A 34833-2023")</f>
        <v/>
      </c>
      <c r="AA31">
        <f>HYPERLINK("https://klasma.github.io/Logging_1383/klagomål/A 34833-2023 FSC-klagomål.docx", "A 34833-2023")</f>
        <v/>
      </c>
      <c r="AB31">
        <f>HYPERLINK("https://klasma.github.io/Logging_1383/klagomålsmail/A 34833-2023 FSC-klagomål mail.docx", "A 34833-2023")</f>
        <v/>
      </c>
      <c r="AC31">
        <f>HYPERLINK("https://klasma.github.io/Logging_1383/tillsyn/A 34833-2023 tillsynsbegäran.docx", "A 34833-2023")</f>
        <v/>
      </c>
      <c r="AD31">
        <f>HYPERLINK("https://klasma.github.io/Logging_1383/tillsynsmail/A 34833-2023 tillsynsbegäran mail.docx", "A 34833-2023")</f>
        <v/>
      </c>
    </row>
    <row r="32" ht="15" customHeight="1">
      <c r="A32" t="inlineStr">
        <is>
          <t>A 15066-2022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46302</v>
      </c>
      <c r="F32" t="inlineStr">
        <is>
          <t>HALLANDS LÄN</t>
        </is>
      </c>
      <c r="G32" t="inlineStr">
        <is>
          <t>VARBERG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HYPERLINK("https://klasma.github.io/Logging_1383/artfynd/A 15066-2022 artfynd.xlsx", "A 15066-2022")</f>
        <v/>
      </c>
      <c r="X32">
        <f>HYPERLINK("https://klasma.github.io/Logging_1383/kartor/A 15066-2022 karta.png", "A 15066-2022")</f>
        <v/>
      </c>
      <c r="Y32">
        <f>HYPERLINK("https://klasma.github.io/Logging_1383/kartor_geotiff/A 15066-2022 georefererad karta.tif", "A 15066-2022")</f>
        <v/>
      </c>
      <c r="AA32">
        <f>HYPERLINK("https://klasma.github.io/Logging_1383/klagomål/A 15066-2022 FSC-klagomål.docx", "A 15066-2022")</f>
        <v/>
      </c>
      <c r="AB32">
        <f>HYPERLINK("https://klasma.github.io/Logging_1383/klagomålsmail/A 15066-2022 FSC-klagomål mail.docx", "A 15066-2022")</f>
        <v/>
      </c>
      <c r="AC32">
        <f>HYPERLINK("https://klasma.github.io/Logging_1383/tillsyn/A 15066-2022 tillsynsbegäran.docx", "A 15066-2022")</f>
        <v/>
      </c>
      <c r="AD32">
        <f>HYPERLINK("https://klasma.github.io/Logging_1383/tillsynsmail/A 15066-2022 tillsynsbegäran mail.docx", "A 15066-2022")</f>
        <v/>
      </c>
    </row>
    <row r="33" ht="15" customHeight="1">
      <c r="A33" t="inlineStr">
        <is>
          <t>A 42723-2023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46302</v>
      </c>
      <c r="F33" t="inlineStr">
        <is>
          <t>HALLANDS LÄN</t>
        </is>
      </c>
      <c r="G33" t="inlineStr">
        <is>
          <t>VARBERG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42723-2023 artfynd.xlsx", "A 42723-2023")</f>
        <v/>
      </c>
      <c r="X33">
        <f>HYPERLINK("https://klasma.github.io/Logging_1383/kartor/A 42723-2023 karta.png", "A 42723-2023")</f>
        <v/>
      </c>
      <c r="Y33">
        <f>HYPERLINK("https://klasma.github.io/Logging_1383/kartor_geotiff/A 42723-2023 georefererad karta.tif", "A 42723-2023")</f>
        <v/>
      </c>
      <c r="AA33">
        <f>HYPERLINK("https://klasma.github.io/Logging_1383/klagomål/A 42723-2023 FSC-klagomål.docx", "A 42723-2023")</f>
        <v/>
      </c>
      <c r="AB33">
        <f>HYPERLINK("https://klasma.github.io/Logging_1383/klagomålsmail/A 42723-2023 FSC-klagomål mail.docx", "A 42723-2023")</f>
        <v/>
      </c>
      <c r="AC33">
        <f>HYPERLINK("https://klasma.github.io/Logging_1383/tillsyn/A 42723-2023 tillsynsbegäran.docx", "A 42723-2023")</f>
        <v/>
      </c>
      <c r="AD33">
        <f>HYPERLINK("https://klasma.github.io/Logging_1383/tillsynsmail/A 42723-2023 tillsynsbegäran mail.docx", "A 42723-2023")</f>
        <v/>
      </c>
    </row>
    <row r="34" ht="15" customHeight="1">
      <c r="A34" t="inlineStr">
        <is>
          <t>A 38094-2026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46302</v>
      </c>
      <c r="F34" t="inlineStr">
        <is>
          <t>HALLANDS LÄN</t>
        </is>
      </c>
      <c r="G34" t="inlineStr">
        <is>
          <t>VARBERG</t>
        </is>
      </c>
      <c r="I34" t="n">
        <v>8.800000000000001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38094-2026 artfynd.xlsx", "A 38094-2026")</f>
        <v/>
      </c>
      <c r="X34">
        <f>HYPERLINK("https://klasma.github.io/Logging_1383/kartor/A 38094-2026 karta.png", "A 38094-2026")</f>
        <v/>
      </c>
      <c r="Y34">
        <f>HYPERLINK("https://klasma.github.io/Logging_1383/kartor_geotiff/A 38094-2026 georefererad karta.tif", "A 38094-2026")</f>
        <v/>
      </c>
      <c r="AA34">
        <f>HYPERLINK("https://klasma.github.io/Logging_1383/klagomål/A 38094-2026 FSC-klagomål.docx", "A 38094-2026")</f>
        <v/>
      </c>
      <c r="AB34">
        <f>HYPERLINK("https://klasma.github.io/Logging_1383/klagomålsmail/A 38094-2026 FSC-klagomål mail.docx", "A 38094-2026")</f>
        <v/>
      </c>
      <c r="AC34">
        <f>HYPERLINK("https://klasma.github.io/Logging_1383/tillsyn/A 38094-2026 tillsynsbegäran.docx", "A 38094-2026")</f>
        <v/>
      </c>
      <c r="AD34">
        <f>HYPERLINK("https://klasma.github.io/Logging_1383/tillsynsmail/A 38094-2026 tillsynsbegäran mail.docx", "A 38094-2026")</f>
        <v/>
      </c>
      <c r="AE34">
        <f>HYPERLINK("https://klasma.github.io/Logging_1383/fåglar/A 38094-2026 prioriterade fågelarter.docx", "A 38094-2026")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46302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46302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A 20045-2024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46302</v>
      </c>
      <c r="F37" t="inlineStr">
        <is>
          <t>HALLANDS LÄN</t>
        </is>
      </c>
      <c r="G37" t="inlineStr">
        <is>
          <t>VARBERG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HYPERLINK("https://klasma.github.io/Logging_1383/artfynd/A 20045-2024 artfynd.xlsx", "A 20045-2024")</f>
        <v/>
      </c>
      <c r="X37">
        <f>HYPERLINK("https://klasma.github.io/Logging_1383/kartor/A 20045-2024 karta.png", "A 20045-2024")</f>
        <v/>
      </c>
      <c r="Y37">
        <f>HYPERLINK("https://klasma.github.io/Logging_1383/kartor_geotiff/A 20045-2024 georefererad karta.tif", "A 20045-2024")</f>
        <v/>
      </c>
      <c r="AA37">
        <f>HYPERLINK("https://klasma.github.io/Logging_1383/klagomål/A 20045-2024 FSC-klagomål.docx", "A 20045-2024")</f>
        <v/>
      </c>
      <c r="AB37">
        <f>HYPERLINK("https://klasma.github.io/Logging_1383/klagomålsmail/A 20045-2024 FSC-klagomål mail.docx", "A 20045-2024")</f>
        <v/>
      </c>
      <c r="AC37">
        <f>HYPERLINK("https://klasma.github.io/Logging_1383/tillsyn/A 20045-2024 tillsynsbegäran.docx", "A 20045-2024")</f>
        <v/>
      </c>
      <c r="AD37">
        <f>HYPERLINK("https://klasma.github.io/Logging_1383/tillsynsmail/A 20045-2024 tillsynsbegäran mail.docx", "A 20045-2024")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46302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46302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46302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46302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46302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46302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46302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46302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46302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46302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46302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46302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46302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46302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46302</v>
      </c>
      <c r="F53" t="inlineStr">
        <is>
          <t>HALLANDS LÄN</t>
        </is>
      </c>
      <c r="G53" t="inlineStr">
        <is>
          <t>VARBERG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46302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46302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46302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46302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46302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46302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46302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46302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46302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46302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46302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46302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46302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46302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46302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46302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46302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46302</v>
      </c>
      <c r="F71" t="inlineStr">
        <is>
          <t>HALLANDS LÄN</t>
        </is>
      </c>
      <c r="G71" t="inlineStr">
        <is>
          <t>VARBERG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46302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46302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46302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46302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46302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46302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46302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46302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45313</v>
      </c>
      <c r="E80" s="1" t="n">
        <v>46302</v>
      </c>
      <c r="F80" t="inlineStr">
        <is>
          <t>HALLANDS LÄN</t>
        </is>
      </c>
      <c r="G80" t="inlineStr">
        <is>
          <t>VARBERG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46302</v>
      </c>
      <c r="F81" t="inlineStr">
        <is>
          <t>HALLANDS LÄN</t>
        </is>
      </c>
      <c r="G81" t="inlineStr">
        <is>
          <t>VARBERG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46302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46302</v>
      </c>
      <c r="F83" t="inlineStr">
        <is>
          <t>HALLANDS LÄN</t>
        </is>
      </c>
      <c r="G83" t="inlineStr">
        <is>
          <t>VARBERG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46302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46302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46302</v>
      </c>
      <c r="F86" t="inlineStr">
        <is>
          <t>HALLANDS LÄN</t>
        </is>
      </c>
      <c r="G86" t="inlineStr">
        <is>
          <t>VARBERG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46302</v>
      </c>
      <c r="F87" t="inlineStr">
        <is>
          <t>HALLANDS LÄN</t>
        </is>
      </c>
      <c r="G87" t="inlineStr">
        <is>
          <t>VARBERG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46302</v>
      </c>
      <c r="F88" t="inlineStr">
        <is>
          <t>HALLANDS LÄN</t>
        </is>
      </c>
      <c r="G88" t="inlineStr">
        <is>
          <t>VARBERG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46302</v>
      </c>
      <c r="F89" t="inlineStr">
        <is>
          <t>HALLANDS LÄN</t>
        </is>
      </c>
      <c r="G89" t="inlineStr">
        <is>
          <t>VARBERG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46302</v>
      </c>
      <c r="F90" t="inlineStr">
        <is>
          <t>HALLANDS LÄN</t>
        </is>
      </c>
      <c r="G90" t="inlineStr">
        <is>
          <t>VARBERG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46302</v>
      </c>
      <c r="F91" t="inlineStr">
        <is>
          <t>HALLANDS LÄN</t>
        </is>
      </c>
      <c r="G91" t="inlineStr">
        <is>
          <t>VARBERG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46302</v>
      </c>
      <c r="F92" t="inlineStr">
        <is>
          <t>HALLANDS LÄN</t>
        </is>
      </c>
      <c r="G92" t="inlineStr">
        <is>
          <t>VARBERG</t>
        </is>
      </c>
      <c r="H92" t="inlineStr">
        <is>
          <t>Kyrkan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46302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46302</v>
      </c>
      <c r="F94" t="inlineStr">
        <is>
          <t>HALLANDS LÄN</t>
        </is>
      </c>
      <c r="G94" t="inlineStr">
        <is>
          <t>VARBERG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46302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46302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45487</v>
      </c>
      <c r="E97" s="1" t="n">
        <v>46302</v>
      </c>
      <c r="F97" t="inlineStr">
        <is>
          <t>HALLANDS LÄN</t>
        </is>
      </c>
      <c r="G97" t="inlineStr">
        <is>
          <t>VARBERG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46302</v>
      </c>
      <c r="F98" t="inlineStr">
        <is>
          <t>HALLANDS LÄN</t>
        </is>
      </c>
      <c r="G98" t="inlineStr">
        <is>
          <t>VARBERG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46024</v>
      </c>
      <c r="E99" s="1" t="n">
        <v>46302</v>
      </c>
      <c r="F99" t="inlineStr">
        <is>
          <t>HALLANDS LÄN</t>
        </is>
      </c>
      <c r="G99" t="inlineStr">
        <is>
          <t>VARBERG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46302</v>
      </c>
      <c r="F100" t="inlineStr">
        <is>
          <t>HALLANDS LÄN</t>
        </is>
      </c>
      <c r="G100" t="inlineStr">
        <is>
          <t>VARBERG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46302</v>
      </c>
      <c r="F101" t="inlineStr">
        <is>
          <t>HALLANDS LÄN</t>
        </is>
      </c>
      <c r="G101" t="inlineStr">
        <is>
          <t>VARBERG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46302</v>
      </c>
      <c r="F102" t="inlineStr">
        <is>
          <t>HALLANDS LÄN</t>
        </is>
      </c>
      <c r="G102" t="inlineStr">
        <is>
          <t>VARBERG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46302</v>
      </c>
      <c r="F103" t="inlineStr">
        <is>
          <t>HALLANDS LÄN</t>
        </is>
      </c>
      <c r="G103" t="inlineStr">
        <is>
          <t>VARBERG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46302</v>
      </c>
      <c r="F104" t="inlineStr">
        <is>
          <t>HALLANDS LÄN</t>
        </is>
      </c>
      <c r="G104" t="inlineStr">
        <is>
          <t>VARBERG</t>
        </is>
      </c>
      <c r="H104" t="inlineStr">
        <is>
          <t>Kommuner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46302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46302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46302</v>
      </c>
      <c r="F107" t="inlineStr">
        <is>
          <t>HALLANDS LÄN</t>
        </is>
      </c>
      <c r="G107" t="inlineStr">
        <is>
          <t>VARBERG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46302</v>
      </c>
      <c r="F108" t="inlineStr">
        <is>
          <t>HALLANDS LÄN</t>
        </is>
      </c>
      <c r="G108" t="inlineStr">
        <is>
          <t>VARBERG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46302</v>
      </c>
      <c r="F109" t="inlineStr">
        <is>
          <t>HALLANDS LÄN</t>
        </is>
      </c>
      <c r="G109" t="inlineStr">
        <is>
          <t>VARBERG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46302</v>
      </c>
      <c r="F110" t="inlineStr">
        <is>
          <t>HALLANDS LÄN</t>
        </is>
      </c>
      <c r="G110" t="inlineStr">
        <is>
          <t>VARBERG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28092-2024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45476</v>
      </c>
      <c r="E111" s="1" t="n">
        <v>46302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46302</v>
      </c>
      <c r="F112" t="inlineStr">
        <is>
          <t>HALLANDS LÄN</t>
        </is>
      </c>
      <c r="G112" t="inlineStr">
        <is>
          <t>VARBERG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46302</v>
      </c>
      <c r="F113" t="inlineStr">
        <is>
          <t>HALLANDS LÄN</t>
        </is>
      </c>
      <c r="G113" t="inlineStr">
        <is>
          <t>VARBERG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46302</v>
      </c>
      <c r="F114" t="inlineStr">
        <is>
          <t>HALLANDS LÄN</t>
        </is>
      </c>
      <c r="G114" t="inlineStr">
        <is>
          <t>VARBERG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46047</v>
      </c>
      <c r="E115" s="1" t="n">
        <v>46302</v>
      </c>
      <c r="F115" t="inlineStr">
        <is>
          <t>HALLANDS LÄN</t>
        </is>
      </c>
      <c r="G115" t="inlineStr">
        <is>
          <t>VARBERG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46302</v>
      </c>
      <c r="F116" t="inlineStr">
        <is>
          <t>HALLANDS LÄN</t>
        </is>
      </c>
      <c r="G116" t="inlineStr">
        <is>
          <t>VARBERG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46047</v>
      </c>
      <c r="E117" s="1" t="n">
        <v>46302</v>
      </c>
      <c r="F117" t="inlineStr">
        <is>
          <t>HALLANDS LÄN</t>
        </is>
      </c>
      <c r="G117" t="inlineStr">
        <is>
          <t>VARBERG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46302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46302</v>
      </c>
      <c r="F119" t="inlineStr">
        <is>
          <t>HALLANDS LÄN</t>
        </is>
      </c>
      <c r="G119" t="inlineStr">
        <is>
          <t>VARBERG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46302</v>
      </c>
      <c r="F120" t="inlineStr">
        <is>
          <t>HALLANDS LÄN</t>
        </is>
      </c>
      <c r="G120" t="inlineStr">
        <is>
          <t>VARBERG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46302</v>
      </c>
      <c r="F121" t="inlineStr">
        <is>
          <t>HALLANDS LÄN</t>
        </is>
      </c>
      <c r="G121" t="inlineStr">
        <is>
          <t>VARBERG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35018-2025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45851</v>
      </c>
      <c r="E122" s="1" t="n">
        <v>46302</v>
      </c>
      <c r="F122" t="inlineStr">
        <is>
          <t>HALLANDS LÄN</t>
        </is>
      </c>
      <c r="G122" t="inlineStr">
        <is>
          <t>VARBERG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46302</v>
      </c>
      <c r="F123" t="inlineStr">
        <is>
          <t>HALLANDS LÄN</t>
        </is>
      </c>
      <c r="G123" t="inlineStr">
        <is>
          <t>VARBERG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46302</v>
      </c>
      <c r="F124" t="inlineStr">
        <is>
          <t>HALLANDS LÄN</t>
        </is>
      </c>
      <c r="G124" t="inlineStr">
        <is>
          <t>VARBERG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46302</v>
      </c>
      <c r="F125" t="inlineStr">
        <is>
          <t>HALLANDS LÄN</t>
        </is>
      </c>
      <c r="G125" t="inlineStr">
        <is>
          <t>VARBERG</t>
        </is>
      </c>
      <c r="H125" t="inlineStr">
        <is>
          <t>Övriga statliga verk och myndigheter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45323</v>
      </c>
      <c r="E126" s="1" t="n">
        <v>46302</v>
      </c>
      <c r="F126" t="inlineStr">
        <is>
          <t>HALLANDS LÄN</t>
        </is>
      </c>
      <c r="G126" t="inlineStr">
        <is>
          <t>VARBERG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46302</v>
      </c>
      <c r="F127" t="inlineStr">
        <is>
          <t>HALLANDS LÄN</t>
        </is>
      </c>
      <c r="G127" t="inlineStr">
        <is>
          <t>VARBERG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45310</v>
      </c>
      <c r="E128" s="1" t="n">
        <v>46302</v>
      </c>
      <c r="F128" t="inlineStr">
        <is>
          <t>HALLANDS LÄN</t>
        </is>
      </c>
      <c r="G128" t="inlineStr">
        <is>
          <t>VARBERG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46302</v>
      </c>
      <c r="F129" t="inlineStr">
        <is>
          <t>HALLANDS LÄN</t>
        </is>
      </c>
      <c r="G129" t="inlineStr">
        <is>
          <t>VARBERG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46302</v>
      </c>
      <c r="F130" t="inlineStr">
        <is>
          <t>HALLANDS LÄN</t>
        </is>
      </c>
      <c r="G130" t="inlineStr">
        <is>
          <t>VARBERG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45910</v>
      </c>
      <c r="E131" s="1" t="n">
        <v>46302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46302</v>
      </c>
      <c r="F132" t="inlineStr">
        <is>
          <t>HALLANDS LÄN</t>
        </is>
      </c>
      <c r="G132" t="inlineStr">
        <is>
          <t>VARBERG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46302</v>
      </c>
      <c r="F133" t="inlineStr">
        <is>
          <t>HALLANDS LÄN</t>
        </is>
      </c>
      <c r="G133" t="inlineStr">
        <is>
          <t>VARBERG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46302</v>
      </c>
      <c r="F134" t="inlineStr">
        <is>
          <t>HALLANDS LÄN</t>
        </is>
      </c>
      <c r="G134" t="inlineStr">
        <is>
          <t>VARBERG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46302</v>
      </c>
      <c r="F135" t="inlineStr">
        <is>
          <t>HALLANDS LÄN</t>
        </is>
      </c>
      <c r="G135" t="inlineStr">
        <is>
          <t>VARBERG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46302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46302</v>
      </c>
      <c r="F137" t="inlineStr">
        <is>
          <t>HALLANDS LÄN</t>
        </is>
      </c>
      <c r="G137" t="inlineStr">
        <is>
          <t>VARBERG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46302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46302</v>
      </c>
      <c r="F139" t="inlineStr">
        <is>
          <t>HALLANDS LÄN</t>
        </is>
      </c>
      <c r="G139" t="inlineStr">
        <is>
          <t>VARBERG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46302</v>
      </c>
      <c r="F140" t="inlineStr">
        <is>
          <t>HALLANDS LÄN</t>
        </is>
      </c>
      <c r="G140" t="inlineStr">
        <is>
          <t>VARBERG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46302</v>
      </c>
      <c r="F141" t="inlineStr">
        <is>
          <t>HALLANDS LÄN</t>
        </is>
      </c>
      <c r="G141" t="inlineStr">
        <is>
          <t>VARBERG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46302</v>
      </c>
      <c r="F142" t="inlineStr">
        <is>
          <t>HALLANDS LÄN</t>
        </is>
      </c>
      <c r="G142" t="inlineStr">
        <is>
          <t>VARBERG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46302</v>
      </c>
      <c r="F143" t="inlineStr">
        <is>
          <t>HALLANDS LÄN</t>
        </is>
      </c>
      <c r="G143" t="inlineStr">
        <is>
          <t>VARBERG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46302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45411</v>
      </c>
      <c r="E145" s="1" t="n">
        <v>46302</v>
      </c>
      <c r="F145" t="inlineStr">
        <is>
          <t>HALLANDS LÄN</t>
        </is>
      </c>
      <c r="G145" t="inlineStr">
        <is>
          <t>VARBERG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46302</v>
      </c>
      <c r="F146" t="inlineStr">
        <is>
          <t>HALLANDS LÄN</t>
        </is>
      </c>
      <c r="G146" t="inlineStr">
        <is>
          <t>VARBERG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20645-2023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45058</v>
      </c>
      <c r="E147" s="1" t="n">
        <v>46302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44574</v>
      </c>
      <c r="E148" s="1" t="n">
        <v>46302</v>
      </c>
      <c r="F148" t="inlineStr">
        <is>
          <t>HALLANDS LÄN</t>
        </is>
      </c>
      <c r="G148" t="inlineStr">
        <is>
          <t>VARBERG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46302</v>
      </c>
      <c r="F149" t="inlineStr">
        <is>
          <t>HALLANDS LÄN</t>
        </is>
      </c>
      <c r="G149" t="inlineStr">
        <is>
          <t>VARBERG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45007</v>
      </c>
      <c r="E150" s="1" t="n">
        <v>46302</v>
      </c>
      <c r="F150" t="inlineStr">
        <is>
          <t>HALLANDS LÄN</t>
        </is>
      </c>
      <c r="G150" t="inlineStr">
        <is>
          <t>VARBERG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8263-2023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44974</v>
      </c>
      <c r="E151" s="1" t="n">
        <v>46302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45736</v>
      </c>
      <c r="E152" s="1" t="n">
        <v>46302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46943-2025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46302</v>
      </c>
      <c r="F153" t="inlineStr">
        <is>
          <t>HALLANDS LÄN</t>
        </is>
      </c>
      <c r="G153" t="inlineStr">
        <is>
          <t>VARBERG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46302</v>
      </c>
      <c r="F154" t="inlineStr">
        <is>
          <t>HALLANDS LÄN</t>
        </is>
      </c>
      <c r="G154" t="inlineStr">
        <is>
          <t>VARBERG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10229-2023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44980</v>
      </c>
      <c r="E155" s="1" t="n">
        <v>46302</v>
      </c>
      <c r="F155" t="inlineStr">
        <is>
          <t>HALLANDS LÄN</t>
        </is>
      </c>
      <c r="G155" t="inlineStr">
        <is>
          <t>VARBERG</t>
        </is>
      </c>
      <c r="H155" t="inlineStr">
        <is>
          <t>Övriga statliga verk och myndigheter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46302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44649</v>
      </c>
      <c r="E157" s="1" t="n">
        <v>46302</v>
      </c>
      <c r="F157" t="inlineStr">
        <is>
          <t>HALLANDS LÄN</t>
        </is>
      </c>
      <c r="G157" t="inlineStr">
        <is>
          <t>VARBERG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46302</v>
      </c>
      <c r="F158" t="inlineStr">
        <is>
          <t>HALLANDS LÄN</t>
        </is>
      </c>
      <c r="G158" t="inlineStr">
        <is>
          <t>VARBERG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46302</v>
      </c>
      <c r="F159" t="inlineStr">
        <is>
          <t>HALLANDS LÄN</t>
        </is>
      </c>
      <c r="G159" t="inlineStr">
        <is>
          <t>VARBERG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46302</v>
      </c>
      <c r="F160" t="inlineStr">
        <is>
          <t>HALLANDS LÄN</t>
        </is>
      </c>
      <c r="G160" t="inlineStr">
        <is>
          <t>VARBERG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46302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46302</v>
      </c>
      <c r="F162" t="inlineStr">
        <is>
          <t>HALLANDS LÄN</t>
        </is>
      </c>
      <c r="G162" t="inlineStr">
        <is>
          <t>VARBERG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45938</v>
      </c>
      <c r="E163" s="1" t="n">
        <v>46302</v>
      </c>
      <c r="F163" t="inlineStr">
        <is>
          <t>HALLANDS LÄN</t>
        </is>
      </c>
      <c r="G163" t="inlineStr">
        <is>
          <t>VARBERG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46302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46302</v>
      </c>
      <c r="F165" t="inlineStr">
        <is>
          <t>HALLANDS LÄN</t>
        </is>
      </c>
      <c r="G165" t="inlineStr">
        <is>
          <t>VARBERG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46302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46302</v>
      </c>
      <c r="F167" t="inlineStr">
        <is>
          <t>HALLANDS LÄN</t>
        </is>
      </c>
      <c r="G167" t="inlineStr">
        <is>
          <t>VARBERG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46302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46302</v>
      </c>
      <c r="F169" t="inlineStr">
        <is>
          <t>HALLANDS LÄN</t>
        </is>
      </c>
      <c r="G169" t="inlineStr">
        <is>
          <t>VARBERG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46302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46302</v>
      </c>
      <c r="F171" t="inlineStr">
        <is>
          <t>HALLANDS LÄN</t>
        </is>
      </c>
      <c r="G171" t="inlineStr">
        <is>
          <t>VARBERG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46302</v>
      </c>
      <c r="F172" t="inlineStr">
        <is>
          <t>HALLANDS LÄN</t>
        </is>
      </c>
      <c r="G172" t="inlineStr">
        <is>
          <t>VARBERG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46302</v>
      </c>
      <c r="F173" t="inlineStr">
        <is>
          <t>HALLANDS LÄN</t>
        </is>
      </c>
      <c r="G173" t="inlineStr">
        <is>
          <t>VARBERG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46302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45849</v>
      </c>
      <c r="E175" s="1" t="n">
        <v>46302</v>
      </c>
      <c r="F175" t="inlineStr">
        <is>
          <t>HALLANDS LÄN</t>
        </is>
      </c>
      <c r="G175" t="inlineStr">
        <is>
          <t>VARBERG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45736</v>
      </c>
      <c r="E176" s="1" t="n">
        <v>46302</v>
      </c>
      <c r="F176" t="inlineStr">
        <is>
          <t>HALLANDS LÄN</t>
        </is>
      </c>
      <c r="G176" t="inlineStr">
        <is>
          <t>VARBERG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46302</v>
      </c>
      <c r="F177" t="inlineStr">
        <is>
          <t>HALLANDS LÄN</t>
        </is>
      </c>
      <c r="G177" t="inlineStr">
        <is>
          <t>VARBERG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46302</v>
      </c>
      <c r="F178" t="inlineStr">
        <is>
          <t>HALLANDS LÄN</t>
        </is>
      </c>
      <c r="G178" t="inlineStr">
        <is>
          <t>VARBERG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46302</v>
      </c>
      <c r="F179" t="inlineStr">
        <is>
          <t>HALLANDS LÄN</t>
        </is>
      </c>
      <c r="G179" t="inlineStr">
        <is>
          <t>VARBERG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45852</v>
      </c>
      <c r="E180" s="1" t="n">
        <v>46302</v>
      </c>
      <c r="F180" t="inlineStr">
        <is>
          <t>HALLANDS LÄN</t>
        </is>
      </c>
      <c r="G180" t="inlineStr">
        <is>
          <t>VARBERG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46302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46302</v>
      </c>
      <c r="F182" t="inlineStr">
        <is>
          <t>HALLANDS LÄN</t>
        </is>
      </c>
      <c r="G182" t="inlineStr">
        <is>
          <t>VARBERG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46302</v>
      </c>
      <c r="F183" t="inlineStr">
        <is>
          <t>HALLANDS LÄN</t>
        </is>
      </c>
      <c r="G183" t="inlineStr">
        <is>
          <t>VARBERG</t>
        </is>
      </c>
      <c r="H183" t="inlineStr">
        <is>
          <t>Kyrkan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45200</v>
      </c>
      <c r="E184" s="1" t="n">
        <v>46302</v>
      </c>
      <c r="F184" t="inlineStr">
        <is>
          <t>HALLANDS LÄN</t>
        </is>
      </c>
      <c r="G184" t="inlineStr">
        <is>
          <t>VARBERG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44829</v>
      </c>
      <c r="E185" s="1" t="n">
        <v>46302</v>
      </c>
      <c r="F185" t="inlineStr">
        <is>
          <t>HALLANDS LÄN</t>
        </is>
      </c>
      <c r="G185" t="inlineStr">
        <is>
          <t>VARBERG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46302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46302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46302</v>
      </c>
      <c r="F188" t="inlineStr">
        <is>
          <t>HALLANDS LÄN</t>
        </is>
      </c>
      <c r="G188" t="inlineStr">
        <is>
          <t>VARBERG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46302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44545</v>
      </c>
      <c r="E190" s="1" t="n">
        <v>46302</v>
      </c>
      <c r="F190" t="inlineStr">
        <is>
          <t>HALLANDS LÄN</t>
        </is>
      </c>
      <c r="G190" t="inlineStr">
        <is>
          <t>VARBERG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46302</v>
      </c>
      <c r="F191" t="inlineStr">
        <is>
          <t>HALLANDS LÄN</t>
        </is>
      </c>
      <c r="G191" t="inlineStr">
        <is>
          <t>VARBERG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46302</v>
      </c>
      <c r="F192" t="inlineStr">
        <is>
          <t>HALLANDS LÄN</t>
        </is>
      </c>
      <c r="G192" t="inlineStr">
        <is>
          <t>VARBERG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44767</v>
      </c>
      <c r="E193" s="1" t="n">
        <v>46302</v>
      </c>
      <c r="F193" t="inlineStr">
        <is>
          <t>HALLANDS LÄN</t>
        </is>
      </c>
      <c r="G193" t="inlineStr">
        <is>
          <t>VARBERG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46302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46302</v>
      </c>
      <c r="F195" t="inlineStr">
        <is>
          <t>HALLANDS LÄN</t>
        </is>
      </c>
      <c r="G195" t="inlineStr">
        <is>
          <t>VARBERG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46302</v>
      </c>
      <c r="F196" t="inlineStr">
        <is>
          <t>HALLANDS LÄN</t>
        </is>
      </c>
      <c r="G196" t="inlineStr">
        <is>
          <t>VARBERG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45271</v>
      </c>
      <c r="E197" s="1" t="n">
        <v>46302</v>
      </c>
      <c r="F197" t="inlineStr">
        <is>
          <t>HALLANDS LÄN</t>
        </is>
      </c>
      <c r="G197" t="inlineStr">
        <is>
          <t>VARBERG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44949</v>
      </c>
      <c r="E198" s="1" t="n">
        <v>46302</v>
      </c>
      <c r="F198" t="inlineStr">
        <is>
          <t>HALLANDS LÄN</t>
        </is>
      </c>
      <c r="G198" t="inlineStr">
        <is>
          <t>VARBERG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46302</v>
      </c>
      <c r="F199" t="inlineStr">
        <is>
          <t>HALLANDS LÄN</t>
        </is>
      </c>
      <c r="G199" t="inlineStr">
        <is>
          <t>VARBERG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45313</v>
      </c>
      <c r="E200" s="1" t="n">
        <v>46302</v>
      </c>
      <c r="F200" t="inlineStr">
        <is>
          <t>HALLANDS LÄN</t>
        </is>
      </c>
      <c r="G200" t="inlineStr">
        <is>
          <t>VARBERG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46302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49760-2024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45597</v>
      </c>
      <c r="E202" s="1" t="n">
        <v>46302</v>
      </c>
      <c r="F202" t="inlineStr">
        <is>
          <t>HALLANDS LÄN</t>
        </is>
      </c>
      <c r="G202" t="inlineStr">
        <is>
          <t>VARBERG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46302</v>
      </c>
      <c r="F203" t="inlineStr">
        <is>
          <t>HALLANDS LÄN</t>
        </is>
      </c>
      <c r="G203" t="inlineStr">
        <is>
          <t>VARBERG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46302</v>
      </c>
      <c r="F204" t="inlineStr">
        <is>
          <t>HALLANDS LÄN</t>
        </is>
      </c>
      <c r="G204" t="inlineStr">
        <is>
          <t>VARBERG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46302</v>
      </c>
      <c r="F205" t="inlineStr">
        <is>
          <t>HALLANDS LÄN</t>
        </is>
      </c>
      <c r="G205" t="inlineStr">
        <is>
          <t>VARBERG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46302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46302</v>
      </c>
      <c r="F207" t="inlineStr">
        <is>
          <t>HALLANDS LÄN</t>
        </is>
      </c>
      <c r="G207" t="inlineStr">
        <is>
          <t>VARBERG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46302</v>
      </c>
      <c r="F208" t="inlineStr">
        <is>
          <t>HALLANDS LÄN</t>
        </is>
      </c>
      <c r="G208" t="inlineStr">
        <is>
          <t>VARBERG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46302</v>
      </c>
      <c r="F209" t="inlineStr">
        <is>
          <t>HALLANDS LÄN</t>
        </is>
      </c>
      <c r="G209" t="inlineStr">
        <is>
          <t>VARBERG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19130-2026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46132</v>
      </c>
      <c r="E210" s="1" t="n">
        <v>46302</v>
      </c>
      <c r="F210" t="inlineStr">
        <is>
          <t>HALLANDS LÄN</t>
        </is>
      </c>
      <c r="G210" t="inlineStr">
        <is>
          <t>VARBERG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45487</v>
      </c>
      <c r="E211" s="1" t="n">
        <v>46302</v>
      </c>
      <c r="F211" t="inlineStr">
        <is>
          <t>HALLANDS LÄN</t>
        </is>
      </c>
      <c r="G211" t="inlineStr">
        <is>
          <t>VARBERG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46302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46302</v>
      </c>
      <c r="F213" t="inlineStr">
        <is>
          <t>HALLANDS LÄN</t>
        </is>
      </c>
      <c r="G213" t="inlineStr">
        <is>
          <t>VARBERG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46302</v>
      </c>
      <c r="F214" t="inlineStr">
        <is>
          <t>HALLANDS LÄN</t>
        </is>
      </c>
      <c r="G214" t="inlineStr">
        <is>
          <t>VARBERG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46302</v>
      </c>
      <c r="F215" t="inlineStr">
        <is>
          <t>HALLANDS LÄN</t>
        </is>
      </c>
      <c r="G215" t="inlineStr">
        <is>
          <t>VARBERG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46302</v>
      </c>
      <c r="F216" t="inlineStr">
        <is>
          <t>HALLANDS LÄN</t>
        </is>
      </c>
      <c r="G216" t="inlineStr">
        <is>
          <t>VARBERG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46302</v>
      </c>
      <c r="F217" t="inlineStr">
        <is>
          <t>HALLANDS LÄN</t>
        </is>
      </c>
      <c r="G217" t="inlineStr">
        <is>
          <t>VARBERG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46302</v>
      </c>
      <c r="F218" t="inlineStr">
        <is>
          <t>HALLANDS LÄN</t>
        </is>
      </c>
      <c r="G218" t="inlineStr">
        <is>
          <t>VARBERG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46302</v>
      </c>
      <c r="F219" t="inlineStr">
        <is>
          <t>HALLANDS LÄN</t>
        </is>
      </c>
      <c r="G219" t="inlineStr">
        <is>
          <t>VARBERG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46302</v>
      </c>
      <c r="F220" t="inlineStr">
        <is>
          <t>HALLANDS LÄN</t>
        </is>
      </c>
      <c r="G220" t="inlineStr">
        <is>
          <t>VARBERG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46302</v>
      </c>
      <c r="F221" t="inlineStr">
        <is>
          <t>HALLANDS LÄN</t>
        </is>
      </c>
      <c r="G221" t="inlineStr">
        <is>
          <t>VARBERG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46302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46302</v>
      </c>
      <c r="F223" t="inlineStr">
        <is>
          <t>HALLANDS LÄN</t>
        </is>
      </c>
      <c r="G223" t="inlineStr">
        <is>
          <t>VARBERG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46302</v>
      </c>
      <c r="F224" t="inlineStr">
        <is>
          <t>HALLANDS LÄN</t>
        </is>
      </c>
      <c r="G224" t="inlineStr">
        <is>
          <t>VARBERG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46302</v>
      </c>
      <c r="F225" t="inlineStr">
        <is>
          <t>HALLANDS LÄN</t>
        </is>
      </c>
      <c r="G225" t="inlineStr">
        <is>
          <t>VARBERG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46302</v>
      </c>
      <c r="F226" t="inlineStr">
        <is>
          <t>HALLANDS LÄN</t>
        </is>
      </c>
      <c r="G226" t="inlineStr">
        <is>
          <t>VARBERG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46302</v>
      </c>
      <c r="F227" t="inlineStr">
        <is>
          <t>HALLANDS LÄN</t>
        </is>
      </c>
      <c r="G227" t="inlineStr">
        <is>
          <t>VARBERG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46302</v>
      </c>
      <c r="F228" t="inlineStr">
        <is>
          <t>HALLANDS LÄN</t>
        </is>
      </c>
      <c r="G228" t="inlineStr">
        <is>
          <t>VARBERG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45364</v>
      </c>
      <c r="E229" s="1" t="n">
        <v>46302</v>
      </c>
      <c r="F229" t="inlineStr">
        <is>
          <t>HALLANDS LÄN</t>
        </is>
      </c>
      <c r="G229" t="inlineStr">
        <is>
          <t>VARBERG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46302</v>
      </c>
      <c r="F230" t="inlineStr">
        <is>
          <t>HALLANDS LÄN</t>
        </is>
      </c>
      <c r="G230" t="inlineStr">
        <is>
          <t>VARBERG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46302</v>
      </c>
      <c r="F231" t="inlineStr">
        <is>
          <t>HALLANDS LÄN</t>
        </is>
      </c>
      <c r="G231" t="inlineStr">
        <is>
          <t>VARBERG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46302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46302</v>
      </c>
      <c r="F233" t="inlineStr">
        <is>
          <t>HALLANDS LÄN</t>
        </is>
      </c>
      <c r="G233" t="inlineStr">
        <is>
          <t>VARBERG</t>
        </is>
      </c>
      <c r="H233" t="inlineStr">
        <is>
          <t>Övriga statliga verk och myndigheter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46302</v>
      </c>
      <c r="F234" t="inlineStr">
        <is>
          <t>HALLANDS LÄN</t>
        </is>
      </c>
      <c r="G234" t="inlineStr">
        <is>
          <t>VARBERG</t>
        </is>
      </c>
      <c r="I234" t="n">
        <v>8.5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46302</v>
      </c>
      <c r="F235" t="inlineStr">
        <is>
          <t>HALLANDS LÄN</t>
        </is>
      </c>
      <c r="G235" t="inlineStr">
        <is>
          <t>VARBERG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46302</v>
      </c>
      <c r="F236" t="inlineStr">
        <is>
          <t>HALLANDS LÄN</t>
        </is>
      </c>
      <c r="G236" t="inlineStr">
        <is>
          <t>VARBERG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46302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46302</v>
      </c>
      <c r="F238" t="inlineStr">
        <is>
          <t>HALLANDS LÄN</t>
        </is>
      </c>
      <c r="G238" t="inlineStr">
        <is>
          <t>VARBERG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45785</v>
      </c>
      <c r="E239" s="1" t="n">
        <v>46302</v>
      </c>
      <c r="F239" t="inlineStr">
        <is>
          <t>HALLANDS LÄN</t>
        </is>
      </c>
      <c r="G239" t="inlineStr">
        <is>
          <t>VARBERG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46302</v>
      </c>
      <c r="F240" t="inlineStr">
        <is>
          <t>HALLANDS LÄN</t>
        </is>
      </c>
      <c r="G240" t="inlineStr">
        <is>
          <t>VARBERG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46302</v>
      </c>
      <c r="F241" t="inlineStr">
        <is>
          <t>HALLANDS LÄN</t>
        </is>
      </c>
      <c r="G241" t="inlineStr">
        <is>
          <t>VARBERG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46302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46302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46302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46302</v>
      </c>
      <c r="F245" t="inlineStr">
        <is>
          <t>HALLANDS LÄN</t>
        </is>
      </c>
      <c r="G245" t="inlineStr">
        <is>
          <t>VARBERG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46302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46302</v>
      </c>
      <c r="F247" t="inlineStr">
        <is>
          <t>HALLANDS LÄN</t>
        </is>
      </c>
      <c r="G247" t="inlineStr">
        <is>
          <t>VARBERG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46302</v>
      </c>
      <c r="F248" t="inlineStr">
        <is>
          <t>HALLANDS LÄN</t>
        </is>
      </c>
      <c r="G248" t="inlineStr">
        <is>
          <t>VARBERG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46302</v>
      </c>
      <c r="F249" t="inlineStr">
        <is>
          <t>HALLANDS LÄN</t>
        </is>
      </c>
      <c r="G249" t="inlineStr">
        <is>
          <t>VARBERG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46302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46014</v>
      </c>
      <c r="E251" s="1" t="n">
        <v>46302</v>
      </c>
      <c r="F251" t="inlineStr">
        <is>
          <t>HALLANDS LÄN</t>
        </is>
      </c>
      <c r="G251" t="inlineStr">
        <is>
          <t>VARBERG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46302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46014</v>
      </c>
      <c r="E253" s="1" t="n">
        <v>46302</v>
      </c>
      <c r="F253" t="inlineStr">
        <is>
          <t>HALLANDS LÄN</t>
        </is>
      </c>
      <c r="G253" t="inlineStr">
        <is>
          <t>VARBERG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46302</v>
      </c>
      <c r="F254" t="inlineStr">
        <is>
          <t>HALLANDS LÄN</t>
        </is>
      </c>
      <c r="G254" t="inlineStr">
        <is>
          <t>VARBERG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46302</v>
      </c>
      <c r="F255" t="inlineStr">
        <is>
          <t>HALLANDS LÄN</t>
        </is>
      </c>
      <c r="G255" t="inlineStr">
        <is>
          <t>VARBERG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45881</v>
      </c>
      <c r="E256" s="1" t="n">
        <v>46302</v>
      </c>
      <c r="F256" t="inlineStr">
        <is>
          <t>HALLANDS LÄN</t>
        </is>
      </c>
      <c r="G256" t="inlineStr">
        <is>
          <t>VARBERG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46302</v>
      </c>
      <c r="F257" t="inlineStr">
        <is>
          <t>HALLANDS LÄN</t>
        </is>
      </c>
      <c r="G257" t="inlineStr">
        <is>
          <t>VARBERG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46302</v>
      </c>
      <c r="F258" t="inlineStr">
        <is>
          <t>HALLANDS LÄN</t>
        </is>
      </c>
      <c r="G258" t="inlineStr">
        <is>
          <t>VARBERG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46302</v>
      </c>
      <c r="F259" t="inlineStr">
        <is>
          <t>HALLANDS LÄN</t>
        </is>
      </c>
      <c r="G259" t="inlineStr">
        <is>
          <t>VARBERG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48006-2025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46302</v>
      </c>
      <c r="F260" t="inlineStr">
        <is>
          <t>HALLANDS LÄN</t>
        </is>
      </c>
      <c r="G260" t="inlineStr">
        <is>
          <t>VARBERG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23167-2026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46161</v>
      </c>
      <c r="E261" s="1" t="n">
        <v>46302</v>
      </c>
      <c r="F261" t="inlineStr">
        <is>
          <t>HALLANDS LÄN</t>
        </is>
      </c>
      <c r="G261" t="inlineStr">
        <is>
          <t>VARBERG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46302</v>
      </c>
      <c r="F262" t="inlineStr">
        <is>
          <t>HALLANDS LÄN</t>
        </is>
      </c>
      <c r="G262" t="inlineStr">
        <is>
          <t>VARBERG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10186-2022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44622</v>
      </c>
      <c r="E263" s="1" t="n">
        <v>46302</v>
      </c>
      <c r="F263" t="inlineStr">
        <is>
          <t>HALLANDS LÄN</t>
        </is>
      </c>
      <c r="G263" t="inlineStr">
        <is>
          <t>VARBERG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46302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23641-2026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46302</v>
      </c>
      <c r="F265" t="inlineStr">
        <is>
          <t>HALLANDS LÄN</t>
        </is>
      </c>
      <c r="G265" t="inlineStr">
        <is>
          <t>VARBERG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46302</v>
      </c>
      <c r="F266" t="inlineStr">
        <is>
          <t>HALLANDS LÄN</t>
        </is>
      </c>
      <c r="G266" t="inlineStr">
        <is>
          <t>VARBERG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46302</v>
      </c>
      <c r="F267" t="inlineStr">
        <is>
          <t>HALLANDS LÄN</t>
        </is>
      </c>
      <c r="G267" t="inlineStr">
        <is>
          <t>VARBERG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45580</v>
      </c>
      <c r="E268" s="1" t="n">
        <v>46302</v>
      </c>
      <c r="F268" t="inlineStr">
        <is>
          <t>HALLANDS LÄN</t>
        </is>
      </c>
      <c r="G268" t="inlineStr">
        <is>
          <t>VARBERG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46302</v>
      </c>
      <c r="F269" t="inlineStr">
        <is>
          <t>HALLANDS LÄN</t>
        </is>
      </c>
      <c r="G269" t="inlineStr">
        <is>
          <t>VARBERG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46302</v>
      </c>
      <c r="F270" t="inlineStr">
        <is>
          <t>HALLANDS LÄN</t>
        </is>
      </c>
      <c r="G270" t="inlineStr">
        <is>
          <t>VARBERG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46302</v>
      </c>
      <c r="F271" t="inlineStr">
        <is>
          <t>HALLANDS LÄN</t>
        </is>
      </c>
      <c r="G271" t="inlineStr">
        <is>
          <t>VARBERG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46302</v>
      </c>
      <c r="F272" t="inlineStr">
        <is>
          <t>HALLANDS LÄN</t>
        </is>
      </c>
      <c r="G272" t="inlineStr">
        <is>
          <t>VARBERG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26202-2026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46302</v>
      </c>
      <c r="F273" t="inlineStr">
        <is>
          <t>HALLANDS LÄN</t>
        </is>
      </c>
      <c r="G273" t="inlineStr">
        <is>
          <t>VARBERG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46302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46302</v>
      </c>
      <c r="F275" t="inlineStr">
        <is>
          <t>HALLANDS LÄN</t>
        </is>
      </c>
      <c r="G275" t="inlineStr">
        <is>
          <t>VARBERG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44837</v>
      </c>
      <c r="E276" s="1" t="n">
        <v>46302</v>
      </c>
      <c r="F276" t="inlineStr">
        <is>
          <t>HALLANDS LÄN</t>
        </is>
      </c>
      <c r="G276" t="inlineStr">
        <is>
          <t>VARBERG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45436</v>
      </c>
      <c r="E277" s="1" t="n">
        <v>46302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45635</v>
      </c>
      <c r="E278" s="1" t="n">
        <v>46302</v>
      </c>
      <c r="F278" t="inlineStr">
        <is>
          <t>HALLANDS LÄN</t>
        </is>
      </c>
      <c r="G278" t="inlineStr">
        <is>
          <t>VARBERG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46302</v>
      </c>
      <c r="F279" t="inlineStr">
        <is>
          <t>HALLANDS LÄN</t>
        </is>
      </c>
      <c r="G279" t="inlineStr">
        <is>
          <t>VARBERG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46302</v>
      </c>
      <c r="F280" t="inlineStr">
        <is>
          <t>HALLANDS LÄN</t>
        </is>
      </c>
      <c r="G280" t="inlineStr">
        <is>
          <t>VARBERG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45695</v>
      </c>
      <c r="E281" s="1" t="n">
        <v>46302</v>
      </c>
      <c r="F281" t="inlineStr">
        <is>
          <t>HALLANDS LÄN</t>
        </is>
      </c>
      <c r="G281" t="inlineStr">
        <is>
          <t>VARBERG</t>
        </is>
      </c>
      <c r="H281" t="inlineStr">
        <is>
          <t>Kyrkan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46302</v>
      </c>
      <c r="F282" t="inlineStr">
        <is>
          <t>HALLANDS LÄN</t>
        </is>
      </c>
      <c r="G282" t="inlineStr">
        <is>
          <t>VARBERG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46302</v>
      </c>
      <c r="F283" t="inlineStr">
        <is>
          <t>HALLANDS LÄN</t>
        </is>
      </c>
      <c r="G283" t="inlineStr">
        <is>
          <t>VARBERG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46302</v>
      </c>
      <c r="F284" t="inlineStr">
        <is>
          <t>HALLANDS LÄN</t>
        </is>
      </c>
      <c r="G284" t="inlineStr">
        <is>
          <t>VARBERG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46302</v>
      </c>
      <c r="F285" t="inlineStr">
        <is>
          <t>HALLANDS LÄN</t>
        </is>
      </c>
      <c r="G285" t="inlineStr">
        <is>
          <t>VARBERG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44867</v>
      </c>
      <c r="E286" s="1" t="n">
        <v>46302</v>
      </c>
      <c r="F286" t="inlineStr">
        <is>
          <t>HALLANDS LÄN</t>
        </is>
      </c>
      <c r="G286" t="inlineStr">
        <is>
          <t>VARBERG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45075</v>
      </c>
      <c r="E287" s="1" t="n">
        <v>46302</v>
      </c>
      <c r="F287" t="inlineStr">
        <is>
          <t>HALLANDS LÄN</t>
        </is>
      </c>
      <c r="G287" t="inlineStr">
        <is>
          <t>VARBERG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46302</v>
      </c>
      <c r="F288" t="inlineStr">
        <is>
          <t>HALLANDS LÄN</t>
        </is>
      </c>
      <c r="G288" t="inlineStr">
        <is>
          <t>VARBERG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20111-2023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46302</v>
      </c>
      <c r="F289" t="inlineStr">
        <is>
          <t>HALLANDS LÄN</t>
        </is>
      </c>
      <c r="G289" t="inlineStr">
        <is>
          <t>VARBERG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46302</v>
      </c>
      <c r="F290" t="inlineStr">
        <is>
          <t>HALLANDS LÄN</t>
        </is>
      </c>
      <c r="G290" t="inlineStr">
        <is>
          <t>VARBERG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45436</v>
      </c>
      <c r="E291" s="1" t="n">
        <v>46302</v>
      </c>
      <c r="F291" t="inlineStr">
        <is>
          <t>HALLANDS LÄN</t>
        </is>
      </c>
      <c r="G291" t="inlineStr">
        <is>
          <t>VARBERG</t>
        </is>
      </c>
      <c r="H291" t="inlineStr">
        <is>
          <t>Kyrkan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4598-2024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45328</v>
      </c>
      <c r="E292" s="1" t="n">
        <v>46302</v>
      </c>
      <c r="F292" t="inlineStr">
        <is>
          <t>HALLANDS LÄN</t>
        </is>
      </c>
      <c r="G292" t="inlineStr">
        <is>
          <t>VARBERG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46302</v>
      </c>
      <c r="F293" t="inlineStr">
        <is>
          <t>HALLANDS LÄN</t>
        </is>
      </c>
      <c r="G293" t="inlineStr">
        <is>
          <t>VARBERG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46302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45279</v>
      </c>
      <c r="E295" s="1" t="n">
        <v>46302</v>
      </c>
      <c r="F295" t="inlineStr">
        <is>
          <t>HALLANDS LÄN</t>
        </is>
      </c>
      <c r="G295" t="inlineStr">
        <is>
          <t>VARBERG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46302</v>
      </c>
      <c r="F296" t="inlineStr">
        <is>
          <t>HALLANDS LÄN</t>
        </is>
      </c>
      <c r="G296" t="inlineStr">
        <is>
          <t>VARBERG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46302</v>
      </c>
      <c r="F297" t="inlineStr">
        <is>
          <t>HALLANDS LÄN</t>
        </is>
      </c>
      <c r="G297" t="inlineStr">
        <is>
          <t>VARBERG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46302</v>
      </c>
      <c r="F298" t="inlineStr">
        <is>
          <t>HALLANDS LÄN</t>
        </is>
      </c>
      <c r="G298" t="inlineStr">
        <is>
          <t>VARBERG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46196</v>
      </c>
      <c r="E299" s="1" t="n">
        <v>46302</v>
      </c>
      <c r="F299" t="inlineStr">
        <is>
          <t>HALLANDS LÄN</t>
        </is>
      </c>
      <c r="G299" t="inlineStr">
        <is>
          <t>VARBERG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46302</v>
      </c>
      <c r="F300" t="inlineStr">
        <is>
          <t>HALLANDS LÄN</t>
        </is>
      </c>
      <c r="G300" t="inlineStr">
        <is>
          <t>VARBERG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46302</v>
      </c>
      <c r="F301" t="inlineStr">
        <is>
          <t>HALLANDS LÄN</t>
        </is>
      </c>
      <c r="G301" t="inlineStr">
        <is>
          <t>VARBERG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64488-2021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44511</v>
      </c>
      <c r="E302" s="1" t="n">
        <v>46302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45401</v>
      </c>
      <c r="E303" s="1" t="n">
        <v>46302</v>
      </c>
      <c r="F303" t="inlineStr">
        <is>
          <t>HALLANDS LÄN</t>
        </is>
      </c>
      <c r="G303" t="inlineStr">
        <is>
          <t>VARBERG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15260-2024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45400</v>
      </c>
      <c r="E304" s="1" t="n">
        <v>46302</v>
      </c>
      <c r="F304" t="inlineStr">
        <is>
          <t>HALLANDS LÄN</t>
        </is>
      </c>
      <c r="G304" t="inlineStr">
        <is>
          <t>VARBERG</t>
        </is>
      </c>
      <c r="H304" t="inlineStr">
        <is>
          <t>Kyrkan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46302</v>
      </c>
      <c r="F305" t="inlineStr">
        <is>
          <t>HALLANDS LÄN</t>
        </is>
      </c>
      <c r="G305" t="inlineStr">
        <is>
          <t>VARBERG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46302</v>
      </c>
      <c r="F306" t="inlineStr">
        <is>
          <t>HALLANDS LÄN</t>
        </is>
      </c>
      <c r="G306" t="inlineStr">
        <is>
          <t>VARBERG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57557-2022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46302</v>
      </c>
      <c r="F307" t="inlineStr">
        <is>
          <t>HALLANDS LÄN</t>
        </is>
      </c>
      <c r="G307" t="inlineStr">
        <is>
          <t>VARBERG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45300</v>
      </c>
      <c r="E308" s="1" t="n">
        <v>46302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32473-2024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45513</v>
      </c>
      <c r="E309" s="1" t="n">
        <v>46302</v>
      </c>
      <c r="F309" t="inlineStr">
        <is>
          <t>HALLANDS LÄN</t>
        </is>
      </c>
      <c r="G309" t="inlineStr">
        <is>
          <t>VARBERG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46302</v>
      </c>
      <c r="F310" t="inlineStr">
        <is>
          <t>HALLANDS LÄN</t>
        </is>
      </c>
      <c r="G310" t="inlineStr">
        <is>
          <t>VARBERG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46302</v>
      </c>
      <c r="F311" t="inlineStr">
        <is>
          <t>HALLANDS LÄN</t>
        </is>
      </c>
      <c r="G311" t="inlineStr">
        <is>
          <t>VARBERG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46302</v>
      </c>
      <c r="F312" t="inlineStr">
        <is>
          <t>HALLANDS LÄN</t>
        </is>
      </c>
      <c r="G312" t="inlineStr">
        <is>
          <t>VARBERG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61075-2023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45261</v>
      </c>
      <c r="E313" s="1" t="n">
        <v>46302</v>
      </c>
      <c r="F313" t="inlineStr">
        <is>
          <t>HALLANDS LÄN</t>
        </is>
      </c>
      <c r="G313" t="inlineStr">
        <is>
          <t>VARBERG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9819-2022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44620</v>
      </c>
      <c r="E314" s="1" t="n">
        <v>46302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44595</v>
      </c>
      <c r="E315" s="1" t="n">
        <v>46302</v>
      </c>
      <c r="F315" t="inlineStr">
        <is>
          <t>HALLANDS LÄN</t>
        </is>
      </c>
      <c r="G315" t="inlineStr">
        <is>
          <t>VARBERG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46302</v>
      </c>
      <c r="F316" t="inlineStr">
        <is>
          <t>HALLANDS LÄN</t>
        </is>
      </c>
      <c r="G316" t="inlineStr">
        <is>
          <t>VARBERG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46302</v>
      </c>
      <c r="F317" t="inlineStr">
        <is>
          <t>HALLANDS LÄN</t>
        </is>
      </c>
      <c r="G317" t="inlineStr">
        <is>
          <t>VARBERG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46302</v>
      </c>
      <c r="F318" t="inlineStr">
        <is>
          <t>HALLANDS LÄN</t>
        </is>
      </c>
      <c r="G318" t="inlineStr">
        <is>
          <t>VARBERG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46302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46302</v>
      </c>
      <c r="F320" t="inlineStr">
        <is>
          <t>HALLANDS LÄN</t>
        </is>
      </c>
      <c r="G320" t="inlineStr">
        <is>
          <t>VARBERG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59297-2022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44904</v>
      </c>
      <c r="E321" s="1" t="n">
        <v>46302</v>
      </c>
      <c r="F321" t="inlineStr">
        <is>
          <t>HALLANDS LÄN</t>
        </is>
      </c>
      <c r="G321" t="inlineStr">
        <is>
          <t>VARBERG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46210</v>
      </c>
      <c r="E322" s="1" t="n">
        <v>46302</v>
      </c>
      <c r="F322" t="inlineStr">
        <is>
          <t>HALLANDS LÄN</t>
        </is>
      </c>
      <c r="G322" t="inlineStr">
        <is>
          <t>VARBERG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12743-2022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44641</v>
      </c>
      <c r="E323" s="1" t="n">
        <v>46302</v>
      </c>
      <c r="F323" t="inlineStr">
        <is>
          <t>HALLANDS LÄN</t>
        </is>
      </c>
      <c r="G323" t="inlineStr">
        <is>
          <t>VARBERG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46302</v>
      </c>
      <c r="F324" t="inlineStr">
        <is>
          <t>HALLANDS LÄN</t>
        </is>
      </c>
      <c r="G324" t="inlineStr">
        <is>
          <t>VARBERG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45246</v>
      </c>
      <c r="E325" s="1" t="n">
        <v>46302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45246</v>
      </c>
      <c r="E326" s="1" t="n">
        <v>46302</v>
      </c>
      <c r="F326" t="inlineStr">
        <is>
          <t>HALLANDS LÄN</t>
        </is>
      </c>
      <c r="G326" t="inlineStr">
        <is>
          <t>VARBERG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46302</v>
      </c>
      <c r="F327" t="inlineStr">
        <is>
          <t>HALLANDS LÄN</t>
        </is>
      </c>
      <c r="G327" t="inlineStr">
        <is>
          <t>VARBERG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45593</v>
      </c>
      <c r="E328" s="1" t="n">
        <v>46302</v>
      </c>
      <c r="F328" t="inlineStr">
        <is>
          <t>HALLANDS LÄN</t>
        </is>
      </c>
      <c r="G328" t="inlineStr">
        <is>
          <t>VARBERG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46302</v>
      </c>
      <c r="F329" t="inlineStr">
        <is>
          <t>HALLANDS LÄN</t>
        </is>
      </c>
      <c r="G329" t="inlineStr">
        <is>
          <t>VARBERG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46302</v>
      </c>
      <c r="F330" t="inlineStr">
        <is>
          <t>HALLANDS LÄN</t>
        </is>
      </c>
      <c r="G330" t="inlineStr">
        <is>
          <t>VARBERG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46210</v>
      </c>
      <c r="E331" s="1" t="n">
        <v>46302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46302</v>
      </c>
      <c r="F332" t="inlineStr">
        <is>
          <t>HALLANDS LÄN</t>
        </is>
      </c>
      <c r="G332" t="inlineStr">
        <is>
          <t>VARBERG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46302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45717</v>
      </c>
      <c r="E334" s="1" t="n">
        <v>46302</v>
      </c>
      <c r="F334" t="inlineStr">
        <is>
          <t>HALLANDS LÄN</t>
        </is>
      </c>
      <c r="G334" t="inlineStr">
        <is>
          <t>VARBERG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46302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46302</v>
      </c>
      <c r="F336" t="inlineStr">
        <is>
          <t>HALLANDS LÄN</t>
        </is>
      </c>
      <c r="G336" t="inlineStr">
        <is>
          <t>VARBERG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9614-2024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45361</v>
      </c>
      <c r="E337" s="1" t="n">
        <v>46302</v>
      </c>
      <c r="F337" t="inlineStr">
        <is>
          <t>HALLANDS LÄN</t>
        </is>
      </c>
      <c r="G337" t="inlineStr">
        <is>
          <t>VARBERG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51932-2024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45607</v>
      </c>
      <c r="E338" s="1" t="n">
        <v>46302</v>
      </c>
      <c r="F338" t="inlineStr">
        <is>
          <t>HALLANDS LÄN</t>
        </is>
      </c>
      <c r="G338" t="inlineStr">
        <is>
          <t>VARBERG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45705</v>
      </c>
      <c r="E339" s="1" t="n">
        <v>46302</v>
      </c>
      <c r="F339" t="inlineStr">
        <is>
          <t>HALLANDS LÄN</t>
        </is>
      </c>
      <c r="G339" t="inlineStr">
        <is>
          <t>VARBERG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44797</v>
      </c>
      <c r="E340" s="1" t="n">
        <v>46302</v>
      </c>
      <c r="F340" t="inlineStr">
        <is>
          <t>HALLANDS LÄN</t>
        </is>
      </c>
      <c r="G340" t="inlineStr">
        <is>
          <t>VARBERG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44910</v>
      </c>
      <c r="E341" s="1" t="n">
        <v>46302</v>
      </c>
      <c r="F341" t="inlineStr">
        <is>
          <t>HALLANDS LÄN</t>
        </is>
      </c>
      <c r="G341" t="inlineStr">
        <is>
          <t>VARBERG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13141-2022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44644</v>
      </c>
      <c r="E342" s="1" t="n">
        <v>46302</v>
      </c>
      <c r="F342" t="inlineStr">
        <is>
          <t>HALLANDS LÄN</t>
        </is>
      </c>
      <c r="G342" t="inlineStr">
        <is>
          <t>VARBERG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13799-2022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44649</v>
      </c>
      <c r="E343" s="1" t="n">
        <v>46302</v>
      </c>
      <c r="F343" t="inlineStr">
        <is>
          <t>HALLANDS LÄN</t>
        </is>
      </c>
      <c r="G343" t="inlineStr">
        <is>
          <t>VARBERG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46302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45638</v>
      </c>
      <c r="E345" s="1" t="n">
        <v>46302</v>
      </c>
      <c r="F345" t="inlineStr">
        <is>
          <t>HALLANDS LÄN</t>
        </is>
      </c>
      <c r="G345" t="inlineStr">
        <is>
          <t>VARBERG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44628</v>
      </c>
      <c r="E346" s="1" t="n">
        <v>46302</v>
      </c>
      <c r="F346" t="inlineStr">
        <is>
          <t>HALLANDS LÄN</t>
        </is>
      </c>
      <c r="G346" t="inlineStr">
        <is>
          <t>VARBERG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45722</v>
      </c>
      <c r="E347" s="1" t="n">
        <v>46302</v>
      </c>
      <c r="F347" t="inlineStr">
        <is>
          <t>HALLANDS LÄN</t>
        </is>
      </c>
      <c r="G347" t="inlineStr">
        <is>
          <t>VARBERG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46302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45366</v>
      </c>
      <c r="E349" s="1" t="n">
        <v>46302</v>
      </c>
      <c r="F349" t="inlineStr">
        <is>
          <t>HALLANDS LÄN</t>
        </is>
      </c>
      <c r="G349" t="inlineStr">
        <is>
          <t>VARBERG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44652</v>
      </c>
      <c r="E350" s="1" t="n">
        <v>46302</v>
      </c>
      <c r="F350" t="inlineStr">
        <is>
          <t>HALLANDS LÄN</t>
        </is>
      </c>
      <c r="G350" t="inlineStr">
        <is>
          <t>VARBERG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15067-2022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44657</v>
      </c>
      <c r="E351" s="1" t="n">
        <v>46302</v>
      </c>
      <c r="F351" t="inlineStr">
        <is>
          <t>HALLANDS LÄN</t>
        </is>
      </c>
      <c r="G351" t="inlineStr">
        <is>
          <t>VARBERG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45075</v>
      </c>
      <c r="E352" s="1" t="n">
        <v>46302</v>
      </c>
      <c r="F352" t="inlineStr">
        <is>
          <t>HALLANDS LÄN</t>
        </is>
      </c>
      <c r="G352" t="inlineStr">
        <is>
          <t>VARBERG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46268</v>
      </c>
      <c r="E353" s="1" t="n">
        <v>46302</v>
      </c>
      <c r="F353" t="inlineStr">
        <is>
          <t>HALLANDS LÄN</t>
        </is>
      </c>
      <c r="G353" t="inlineStr">
        <is>
          <t>VARBERG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46302</v>
      </c>
      <c r="F354" t="inlineStr">
        <is>
          <t>HALLANDS LÄN</t>
        </is>
      </c>
      <c r="G354" t="inlineStr">
        <is>
          <t>VARBERG</t>
        </is>
      </c>
      <c r="H354" t="inlineStr">
        <is>
          <t>Kyrkan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46269</v>
      </c>
      <c r="E355" s="1" t="n">
        <v>46302</v>
      </c>
      <c r="F355" t="inlineStr">
        <is>
          <t>HALLANDS LÄN</t>
        </is>
      </c>
      <c r="G355" t="inlineStr">
        <is>
          <t>VARBERG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46302</v>
      </c>
      <c r="F356" t="inlineStr">
        <is>
          <t>HALLANDS LÄN</t>
        </is>
      </c>
      <c r="G356" t="inlineStr">
        <is>
          <t>VARBERG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44619-2024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45574</v>
      </c>
      <c r="E357" s="1" t="n">
        <v>46302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46273</v>
      </c>
      <c r="E358" s="1" t="n">
        <v>46302</v>
      </c>
      <c r="F358" t="inlineStr">
        <is>
          <t>HALLANDS LÄN</t>
        </is>
      </c>
      <c r="G358" t="inlineStr">
        <is>
          <t>VARBERG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46421-2023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45197</v>
      </c>
      <c r="E359" s="1" t="n">
        <v>46302</v>
      </c>
      <c r="F359" t="inlineStr">
        <is>
          <t>HALLANDS LÄN</t>
        </is>
      </c>
      <c r="G359" t="inlineStr">
        <is>
          <t>VARBERG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46302</v>
      </c>
      <c r="F360" t="inlineStr">
        <is>
          <t>HALLANDS LÄN</t>
        </is>
      </c>
      <c r="G360" t="inlineStr">
        <is>
          <t>VARBERG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70040-2021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44533</v>
      </c>
      <c r="E361" s="1" t="n">
        <v>46302</v>
      </c>
      <c r="F361" t="inlineStr">
        <is>
          <t>HALLANDS LÄN</t>
        </is>
      </c>
      <c r="G361" t="inlineStr">
        <is>
          <t>VARBERG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44659</v>
      </c>
      <c r="E362" s="1" t="n">
        <v>46302</v>
      </c>
      <c r="F362" t="inlineStr">
        <is>
          <t>HALLANDS LÄN</t>
        </is>
      </c>
      <c r="G362" t="inlineStr">
        <is>
          <t>VARBERG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64767-2023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45281</v>
      </c>
      <c r="E363" s="1" t="n">
        <v>46302</v>
      </c>
      <c r="F363" t="inlineStr">
        <is>
          <t>HALLANDS LÄN</t>
        </is>
      </c>
      <c r="G363" t="inlineStr">
        <is>
          <t>VARBERG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46302</v>
      </c>
      <c r="F364" t="inlineStr">
        <is>
          <t>HALLANDS LÄN</t>
        </is>
      </c>
      <c r="G364" t="inlineStr">
        <is>
          <t>VARBERG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46771-2022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44851</v>
      </c>
      <c r="E365" s="1" t="n">
        <v>46302</v>
      </c>
      <c r="F365" t="inlineStr">
        <is>
          <t>HALLANDS LÄN</t>
        </is>
      </c>
      <c r="G365" t="inlineStr">
        <is>
          <t>VARBERG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46302</v>
      </c>
      <c r="F366" t="inlineStr">
        <is>
          <t>HALLANDS LÄN</t>
        </is>
      </c>
      <c r="G366" t="inlineStr">
        <is>
          <t>VARBERG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46234</v>
      </c>
      <c r="E367" s="1" t="n">
        <v>46302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46302</v>
      </c>
      <c r="F368" t="inlineStr">
        <is>
          <t>HALLANDS LÄN</t>
        </is>
      </c>
      <c r="G368" t="inlineStr">
        <is>
          <t>VARBERG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46302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46281</v>
      </c>
      <c r="E370" s="1" t="n">
        <v>46302</v>
      </c>
      <c r="F370" t="inlineStr">
        <is>
          <t>HALLANDS LÄN</t>
        </is>
      </c>
      <c r="G370" t="inlineStr">
        <is>
          <t>VARBERG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36424-2026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46269</v>
      </c>
      <c r="E371" s="1" t="n">
        <v>46302</v>
      </c>
      <c r="F371" t="inlineStr">
        <is>
          <t>HALLANDS LÄN</t>
        </is>
      </c>
      <c r="G371" t="inlineStr">
        <is>
          <t>VARBERG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46302</v>
      </c>
      <c r="F372" t="inlineStr">
        <is>
          <t>HALLANDS LÄN</t>
        </is>
      </c>
      <c r="G372" t="inlineStr">
        <is>
          <t>VARBERG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46302</v>
      </c>
      <c r="F373" t="inlineStr">
        <is>
          <t>HALLANDS LÄN</t>
        </is>
      </c>
      <c r="G373" t="inlineStr">
        <is>
          <t>VARBERG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46302</v>
      </c>
      <c r="F374" t="inlineStr">
        <is>
          <t>HALLANDS LÄN</t>
        </is>
      </c>
      <c r="G374" t="inlineStr">
        <is>
          <t>VARBERG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46302</v>
      </c>
      <c r="F375" t="inlineStr">
        <is>
          <t>HALLANDS LÄN</t>
        </is>
      </c>
      <c r="G375" t="inlineStr">
        <is>
          <t>VARBERG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45600</v>
      </c>
      <c r="E376" s="1" t="n">
        <v>46302</v>
      </c>
      <c r="F376" t="inlineStr">
        <is>
          <t>HALLANDS LÄN</t>
        </is>
      </c>
      <c r="G376" t="inlineStr">
        <is>
          <t>VARBERG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31826-2024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46302</v>
      </c>
      <c r="F377" t="inlineStr">
        <is>
          <t>HALLANDS LÄN</t>
        </is>
      </c>
      <c r="G377" t="inlineStr">
        <is>
          <t>VARBERG</t>
        </is>
      </c>
      <c r="H377" t="inlineStr">
        <is>
          <t>Kyrkan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45369</v>
      </c>
      <c r="E378" s="1" t="n">
        <v>46302</v>
      </c>
      <c r="F378" t="inlineStr">
        <is>
          <t>HALLANDS LÄN</t>
        </is>
      </c>
      <c r="G378" t="inlineStr">
        <is>
          <t>VARBERG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46237</v>
      </c>
      <c r="E379" s="1" t="n">
        <v>46302</v>
      </c>
      <c r="F379" t="inlineStr">
        <is>
          <t>HALLANDS LÄN</t>
        </is>
      </c>
      <c r="G379" t="inlineStr">
        <is>
          <t>VARBERG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46302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46302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46302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46302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46302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46302</v>
      </c>
      <c r="F385" t="inlineStr">
        <is>
          <t>HALLANDS LÄN</t>
        </is>
      </c>
      <c r="G385" t="inlineStr">
        <is>
          <t>VARBERG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46302</v>
      </c>
      <c r="F386" t="inlineStr">
        <is>
          <t>HALLANDS LÄN</t>
        </is>
      </c>
      <c r="G386" t="inlineStr">
        <is>
          <t>VARBERG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46302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45058</v>
      </c>
      <c r="E388" s="1" t="n">
        <v>46302</v>
      </c>
      <c r="F388" t="inlineStr">
        <is>
          <t>HALLANDS LÄN</t>
        </is>
      </c>
      <c r="G388" t="inlineStr">
        <is>
          <t>VARBERG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36425-2026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46269</v>
      </c>
      <c r="E389" s="1" t="n">
        <v>46302</v>
      </c>
      <c r="F389" t="inlineStr">
        <is>
          <t>HALLANDS LÄN</t>
        </is>
      </c>
      <c r="G389" t="inlineStr">
        <is>
          <t>VARBERG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36423-2026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46269</v>
      </c>
      <c r="E390" s="1" t="n">
        <v>46302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46288</v>
      </c>
      <c r="E391" s="1" t="n">
        <v>46302</v>
      </c>
      <c r="F391" t="inlineStr">
        <is>
          <t>HALLANDS LÄN</t>
        </is>
      </c>
      <c r="G391" t="inlineStr">
        <is>
          <t>VARBERG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45434</v>
      </c>
      <c r="E392" s="1" t="n">
        <v>46302</v>
      </c>
      <c r="F392" t="inlineStr">
        <is>
          <t>HALLANDS LÄN</t>
        </is>
      </c>
      <c r="G392" t="inlineStr">
        <is>
          <t>VARBERG</t>
        </is>
      </c>
      <c r="I392" t="n">
        <v>9.1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46302</v>
      </c>
      <c r="F393" t="inlineStr">
        <is>
          <t>HALLANDS LÄN</t>
        </is>
      </c>
      <c r="G393" t="inlineStr">
        <is>
          <t>VARBERG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46302</v>
      </c>
      <c r="F394" t="inlineStr">
        <is>
          <t>HALLANDS LÄN</t>
        </is>
      </c>
      <c r="G394" t="inlineStr">
        <is>
          <t>VARBERG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46302</v>
      </c>
      <c r="F395" t="inlineStr">
        <is>
          <t>HALLANDS LÄN</t>
        </is>
      </c>
      <c r="G395" t="inlineStr">
        <is>
          <t>VARBERG</t>
        </is>
      </c>
      <c r="H395" t="inlineStr">
        <is>
          <t>Övriga statliga verk och myndigheter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46302</v>
      </c>
      <c r="F396" t="inlineStr">
        <is>
          <t>HALLANDS LÄN</t>
        </is>
      </c>
      <c r="G396" t="inlineStr">
        <is>
          <t>VARBERG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45397</v>
      </c>
      <c r="E397" s="1" t="n">
        <v>46302</v>
      </c>
      <c r="F397" t="inlineStr">
        <is>
          <t>HALLANDS LÄN</t>
        </is>
      </c>
      <c r="G397" t="inlineStr">
        <is>
          <t>VARBERG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46251</v>
      </c>
      <c r="E398" s="1" t="n">
        <v>46302</v>
      </c>
      <c r="F398" t="inlineStr">
        <is>
          <t>HALLANDS LÄN</t>
        </is>
      </c>
      <c r="G398" t="inlineStr">
        <is>
          <t>VARBERG</t>
        </is>
      </c>
      <c r="H398" t="inlineStr">
        <is>
          <t>Övriga statliga verk och myndigheter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45772</v>
      </c>
      <c r="E399" s="1" t="n">
        <v>46302</v>
      </c>
      <c r="F399" t="inlineStr">
        <is>
          <t>HALLANDS LÄN</t>
        </is>
      </c>
      <c r="G399" t="inlineStr">
        <is>
          <t>VARBERG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46302</v>
      </c>
      <c r="F400" t="inlineStr">
        <is>
          <t>HALLANDS LÄN</t>
        </is>
      </c>
      <c r="G400" t="inlineStr">
        <is>
          <t>VARBERG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46251</v>
      </c>
      <c r="E401" s="1" t="n">
        <v>46302</v>
      </c>
      <c r="F401" t="inlineStr">
        <is>
          <t>HALLANDS LÄN</t>
        </is>
      </c>
      <c r="G401" t="inlineStr">
        <is>
          <t>VARBERG</t>
        </is>
      </c>
      <c r="H401" t="inlineStr">
        <is>
          <t>Övriga statliga verk och myndigheter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45722</v>
      </c>
      <c r="E402" s="1" t="n">
        <v>46302</v>
      </c>
      <c r="F402" t="inlineStr">
        <is>
          <t>HALLANDS LÄN</t>
        </is>
      </c>
      <c r="G402" t="inlineStr">
        <is>
          <t>VARBERG</t>
        </is>
      </c>
      <c r="I402" t="n">
        <v>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44770</v>
      </c>
      <c r="E403" s="1" t="n">
        <v>46302</v>
      </c>
      <c r="F403" t="inlineStr">
        <is>
          <t>HALLANDS LÄN</t>
        </is>
      </c>
      <c r="G403" t="inlineStr">
        <is>
          <t>VARBERG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46302</v>
      </c>
      <c r="F404" t="inlineStr">
        <is>
          <t>HALLANDS LÄN</t>
        </is>
      </c>
      <c r="G404" t="inlineStr">
        <is>
          <t>VARBERG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45422</v>
      </c>
      <c r="E405" s="1" t="n">
        <v>46302</v>
      </c>
      <c r="F405" t="inlineStr">
        <is>
          <t>HALLANDS LÄN</t>
        </is>
      </c>
      <c r="G405" t="inlineStr">
        <is>
          <t>VARBERG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44890</v>
      </c>
      <c r="E406" s="1" t="n">
        <v>46302</v>
      </c>
      <c r="F406" t="inlineStr">
        <is>
          <t>HALLANDS LÄN</t>
        </is>
      </c>
      <c r="G406" t="inlineStr">
        <is>
          <t>VARBERG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45246</v>
      </c>
      <c r="E407" s="1" t="n">
        <v>46302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46295</v>
      </c>
      <c r="E408" s="1" t="n">
        <v>46302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34558-2023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45140</v>
      </c>
      <c r="E409" s="1" t="n">
        <v>46302</v>
      </c>
      <c r="F409" t="inlineStr">
        <is>
          <t>HALLANDS LÄN</t>
        </is>
      </c>
      <c r="G409" t="inlineStr">
        <is>
          <t>VARBERG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45014</v>
      </c>
      <c r="E410" s="1" t="n">
        <v>46302</v>
      </c>
      <c r="F410" t="inlineStr">
        <is>
          <t>HALLANDS LÄN</t>
        </is>
      </c>
      <c r="G410" t="inlineStr">
        <is>
          <t>VARBERG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46295</v>
      </c>
      <c r="E411" s="1" t="n">
        <v>46302</v>
      </c>
      <c r="F411" t="inlineStr">
        <is>
          <t>HALLANDS LÄN</t>
        </is>
      </c>
      <c r="G411" t="inlineStr">
        <is>
          <t>VARBERG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45567</v>
      </c>
      <c r="E412" s="1" t="n">
        <v>46302</v>
      </c>
      <c r="F412" t="inlineStr">
        <is>
          <t>HALLANDS LÄN</t>
        </is>
      </c>
      <c r="G412" t="inlineStr">
        <is>
          <t>VARBERG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45344</v>
      </c>
      <c r="E413" s="1" t="n">
        <v>46302</v>
      </c>
      <c r="F413" t="inlineStr">
        <is>
          <t>HALLANDS LÄN</t>
        </is>
      </c>
      <c r="G413" t="inlineStr">
        <is>
          <t>VARBERG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46302</v>
      </c>
      <c r="F414" t="inlineStr">
        <is>
          <t>HALLANDS LÄN</t>
        </is>
      </c>
      <c r="G414" t="inlineStr">
        <is>
          <t>VARBERG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19595-2025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45770</v>
      </c>
      <c r="E415" s="1" t="n">
        <v>46302</v>
      </c>
      <c r="F415" t="inlineStr">
        <is>
          <t>HALLANDS LÄN</t>
        </is>
      </c>
      <c r="G415" t="inlineStr">
        <is>
          <t>VARBERG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46302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46302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24227-2024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45457</v>
      </c>
      <c r="E418" s="1" t="n">
        <v>46302</v>
      </c>
      <c r="F418" t="inlineStr">
        <is>
          <t>HALLANDS LÄN</t>
        </is>
      </c>
      <c r="G418" t="inlineStr">
        <is>
          <t>VARBERG</t>
        </is>
      </c>
      <c r="H418" t="inlineStr">
        <is>
          <t>Kyrkan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45744</v>
      </c>
      <c r="E419" s="1" t="n">
        <v>46302</v>
      </c>
      <c r="F419" t="inlineStr">
        <is>
          <t>HALLANDS LÄN</t>
        </is>
      </c>
      <c r="G419" t="inlineStr">
        <is>
          <t>VARBERG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46302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37872-2026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46279</v>
      </c>
      <c r="E421" s="1" t="n">
        <v>46302</v>
      </c>
      <c r="F421" t="inlineStr">
        <is>
          <t>HALLANDS LÄN</t>
        </is>
      </c>
      <c r="G421" t="inlineStr">
        <is>
          <t>VARBERG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48019-2022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44855</v>
      </c>
      <c r="E422" s="1" t="n">
        <v>46302</v>
      </c>
      <c r="F422" t="inlineStr">
        <is>
          <t>HALLANDS LÄN</t>
        </is>
      </c>
      <c r="G422" t="inlineStr">
        <is>
          <t>VARBERG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46302</v>
      </c>
      <c r="F423" t="inlineStr">
        <is>
          <t>HALLANDS LÄN</t>
        </is>
      </c>
      <c r="G423" t="inlineStr">
        <is>
          <t>VARBERG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46302</v>
      </c>
      <c r="F424" t="inlineStr">
        <is>
          <t>HALLANDS LÄN</t>
        </is>
      </c>
      <c r="G424" t="inlineStr">
        <is>
          <t>VARBERG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41469-2026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46301</v>
      </c>
      <c r="E425" s="1" t="n">
        <v>46302</v>
      </c>
      <c r="F425" t="inlineStr">
        <is>
          <t>HALLANDS LÄN</t>
        </is>
      </c>
      <c r="G425" t="inlineStr">
        <is>
          <t>VARBERG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9514-2023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44981</v>
      </c>
      <c r="E426" s="1" t="n">
        <v>46302</v>
      </c>
      <c r="F426" t="inlineStr">
        <is>
          <t>HALLANDS LÄN</t>
        </is>
      </c>
      <c r="G426" t="inlineStr">
        <is>
          <t>VARBERG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32307-2025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46302</v>
      </c>
      <c r="F427" t="inlineStr">
        <is>
          <t>HALLANDS LÄN</t>
        </is>
      </c>
      <c r="G427" t="inlineStr">
        <is>
          <t>VARBERG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23912-2022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46302</v>
      </c>
      <c r="F428" t="inlineStr">
        <is>
          <t>HALLANDS LÄN</t>
        </is>
      </c>
      <c r="G428" t="inlineStr">
        <is>
          <t>VARBERG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46300</v>
      </c>
      <c r="E429" s="1" t="n">
        <v>46302</v>
      </c>
      <c r="F429" t="inlineStr">
        <is>
          <t>HALLANDS LÄN</t>
        </is>
      </c>
      <c r="G429" t="inlineStr">
        <is>
          <t>VARBERG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46299</v>
      </c>
      <c r="E430" s="1" t="n">
        <v>46302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62942-2023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45272</v>
      </c>
      <c r="E431" s="1" t="n">
        <v>46302</v>
      </c>
      <c r="F431" t="inlineStr">
        <is>
          <t>HALLANDS LÄN</t>
        </is>
      </c>
      <c r="G431" t="inlineStr">
        <is>
          <t>VARBERG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45743</v>
      </c>
      <c r="E432" s="1" t="n">
        <v>46302</v>
      </c>
      <c r="F432" t="inlineStr">
        <is>
          <t>HALLANDS LÄN</t>
        </is>
      </c>
      <c r="G432" t="inlineStr">
        <is>
          <t>VARBERG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46302</v>
      </c>
      <c r="F433" t="inlineStr">
        <is>
          <t>HALLANDS LÄN</t>
        </is>
      </c>
      <c r="G433" t="inlineStr">
        <is>
          <t>VARBERG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46302</v>
      </c>
      <c r="F434" t="inlineStr">
        <is>
          <t>HALLANDS LÄN</t>
        </is>
      </c>
      <c r="G434" t="inlineStr">
        <is>
          <t>VARBERG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45058</v>
      </c>
      <c r="E435" s="1" t="n">
        <v>46302</v>
      </c>
      <c r="F435" t="inlineStr">
        <is>
          <t>HALLANDS LÄN</t>
        </is>
      </c>
      <c r="G435" t="inlineStr">
        <is>
          <t>VARBERG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46302</v>
      </c>
      <c r="F436" t="inlineStr">
        <is>
          <t>HALLANDS LÄN</t>
        </is>
      </c>
      <c r="G436" t="inlineStr">
        <is>
          <t>VARBERG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46302</v>
      </c>
      <c r="F437" t="inlineStr">
        <is>
          <t>HALLANDS LÄN</t>
        </is>
      </c>
      <c r="G437" t="inlineStr">
        <is>
          <t>VARBERG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41961-2023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45177</v>
      </c>
      <c r="E438" s="1" t="n">
        <v>46302</v>
      </c>
      <c r="F438" t="inlineStr">
        <is>
          <t>HALLANDS LÄN</t>
        </is>
      </c>
      <c r="G438" t="inlineStr">
        <is>
          <t>VARBERG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46302</v>
      </c>
      <c r="F439" t="inlineStr">
        <is>
          <t>HALLANDS LÄN</t>
        </is>
      </c>
      <c r="G439" t="inlineStr">
        <is>
          <t>VARBERG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45722</v>
      </c>
      <c r="E440" s="1" t="n">
        <v>46302</v>
      </c>
      <c r="F440" t="inlineStr">
        <is>
          <t>HALLANDS LÄN</t>
        </is>
      </c>
      <c r="G440" t="inlineStr">
        <is>
          <t>VARBERG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45722</v>
      </c>
      <c r="E441" s="1" t="n">
        <v>46302</v>
      </c>
      <c r="F441" t="inlineStr">
        <is>
          <t>HALLANDS LÄN</t>
        </is>
      </c>
      <c r="G441" t="inlineStr">
        <is>
          <t>VARBERG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45432</v>
      </c>
      <c r="E442" s="1" t="n">
        <v>46302</v>
      </c>
      <c r="F442" t="inlineStr">
        <is>
          <t>HALLANDS LÄN</t>
        </is>
      </c>
      <c r="G442" t="inlineStr">
        <is>
          <t>VARBERG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27286-2023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45096</v>
      </c>
      <c r="E443" s="1" t="n">
        <v>46302</v>
      </c>
      <c r="F443" t="inlineStr">
        <is>
          <t>HALLANDS LÄN</t>
        </is>
      </c>
      <c r="G443" t="inlineStr">
        <is>
          <t>VARBERG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46302</v>
      </c>
      <c r="F444" t="inlineStr">
        <is>
          <t>HALLANDS LÄN</t>
        </is>
      </c>
      <c r="G444" t="inlineStr">
        <is>
          <t>VARBERG</t>
        </is>
      </c>
      <c r="H444" t="inlineStr">
        <is>
          <t>Övriga statliga verk och myndigheter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46302</v>
      </c>
      <c r="F445" t="inlineStr">
        <is>
          <t>HALLANDS LÄN</t>
        </is>
      </c>
      <c r="G445" t="inlineStr">
        <is>
          <t>VARBERG</t>
        </is>
      </c>
      <c r="H445" t="inlineStr">
        <is>
          <t>Övriga statliga verk och myndigheter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46302</v>
      </c>
      <c r="F446" t="inlineStr">
        <is>
          <t>HALLANDS LÄN</t>
        </is>
      </c>
      <c r="G446" t="inlineStr">
        <is>
          <t>VARBERG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16739-2025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46302</v>
      </c>
      <c r="F447" t="inlineStr">
        <is>
          <t>HALLANDS LÄN</t>
        </is>
      </c>
      <c r="G447" t="inlineStr">
        <is>
          <t>VARBERG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45637</v>
      </c>
      <c r="E448" s="1" t="n">
        <v>46302</v>
      </c>
      <c r="F448" t="inlineStr">
        <is>
          <t>HALLANDS LÄN</t>
        </is>
      </c>
      <c r="G448" t="inlineStr">
        <is>
          <t>VARBERG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45131</v>
      </c>
      <c r="E449" s="1" t="n">
        <v>46302</v>
      </c>
      <c r="F449" t="inlineStr">
        <is>
          <t>HALLANDS LÄN</t>
        </is>
      </c>
      <c r="G449" t="inlineStr">
        <is>
          <t>VARBERG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45762</v>
      </c>
      <c r="E450" s="1" t="n">
        <v>46302</v>
      </c>
      <c r="F450" t="inlineStr">
        <is>
          <t>HALLANDS LÄN</t>
        </is>
      </c>
      <c r="G450" t="inlineStr">
        <is>
          <t>VARBERG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46302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46302</v>
      </c>
      <c r="F452" t="inlineStr">
        <is>
          <t>HALLANDS LÄN</t>
        </is>
      </c>
      <c r="G452" t="inlineStr">
        <is>
          <t>VARBERG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45665</v>
      </c>
      <c r="E453" s="1" t="n">
        <v>46302</v>
      </c>
      <c r="F453" t="inlineStr">
        <is>
          <t>HALLANDS LÄN</t>
        </is>
      </c>
      <c r="G453" t="inlineStr">
        <is>
          <t>VARBERG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46302</v>
      </c>
      <c r="F454" t="inlineStr">
        <is>
          <t>HALLANDS LÄN</t>
        </is>
      </c>
      <c r="G454" t="inlineStr">
        <is>
          <t>VARBERG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45791</v>
      </c>
      <c r="E455" s="1" t="n">
        <v>46302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46302</v>
      </c>
      <c r="F456" t="inlineStr">
        <is>
          <t>HALLANDS LÄN</t>
        </is>
      </c>
      <c r="G456" t="inlineStr">
        <is>
          <t>VARBERG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45378</v>
      </c>
      <c r="E457" s="1" t="n">
        <v>46302</v>
      </c>
      <c r="F457" t="inlineStr">
        <is>
          <t>HALLANDS LÄN</t>
        </is>
      </c>
      <c r="G457" t="inlineStr">
        <is>
          <t>VARBERG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45574</v>
      </c>
      <c r="E458" s="1" t="n">
        <v>46302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46302</v>
      </c>
      <c r="F459" t="inlineStr">
        <is>
          <t>HALLANDS LÄN</t>
        </is>
      </c>
      <c r="G459" t="inlineStr">
        <is>
          <t>VARBERG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45336</v>
      </c>
      <c r="E460" s="1" t="n">
        <v>46302</v>
      </c>
      <c r="F460" t="inlineStr">
        <is>
          <t>HALLANDS LÄN</t>
        </is>
      </c>
      <c r="G460" t="inlineStr">
        <is>
          <t>VARBERG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46302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46302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46302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46302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46302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46302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46302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46302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46302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46302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46302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2133-2025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45847</v>
      </c>
      <c r="E472" s="1" t="n">
        <v>46302</v>
      </c>
      <c r="F472" t="inlineStr">
        <is>
          <t>HALLANDS LÄN</t>
        </is>
      </c>
      <c r="G472" t="inlineStr">
        <is>
          <t>VARBERG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139-2026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46302</v>
      </c>
      <c r="F473" t="inlineStr">
        <is>
          <t>HALLANDS LÄN</t>
        </is>
      </c>
      <c r="G473" t="inlineStr">
        <is>
          <t>VARBERG</t>
        </is>
      </c>
      <c r="I473" t="n">
        <v>38.9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46302</v>
      </c>
      <c r="F474" t="inlineStr">
        <is>
          <t>HALLANDS LÄN</t>
        </is>
      </c>
      <c r="G474" t="inlineStr">
        <is>
          <t>VARBERG</t>
        </is>
      </c>
      <c r="I474" t="n">
        <v>23.1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46302</v>
      </c>
      <c r="F475" t="inlineStr">
        <is>
          <t>HALLANDS LÄN</t>
        </is>
      </c>
      <c r="G475" t="inlineStr">
        <is>
          <t>VARBERG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46302</v>
      </c>
      <c r="F476" t="inlineStr">
        <is>
          <t>HALLANDS LÄN</t>
        </is>
      </c>
      <c r="G476" t="inlineStr">
        <is>
          <t>VARBERG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1402-2026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46302</v>
      </c>
      <c r="F477" t="inlineStr">
        <is>
          <t>HALLANDS LÄN</t>
        </is>
      </c>
      <c r="G477" t="inlineStr">
        <is>
          <t>VARBERG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2273-2026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46264</v>
      </c>
      <c r="E478" s="1" t="n">
        <v>46302</v>
      </c>
      <c r="F478" t="inlineStr">
        <is>
          <t>HALLANDS LÄN</t>
        </is>
      </c>
      <c r="G478" t="inlineStr">
        <is>
          <t>VARBERG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2026-10-07T02:02:27Z</dcterms:created>
  <dcterms:modified xmlns:dcterms="http://purl.org/dc/terms/" xmlns:xsi="http://www.w3.org/2001/XMLSchema-instance" xsi:type="dcterms:W3CDTF">2026-10-07T02:02:28Z</dcterms:modified>
</cp:coreProperties>
</file>