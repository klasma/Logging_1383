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46194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46194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46194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27105-2026</t>
        </is>
      </c>
      <c r="B5" s="1" t="n">
        <v>46188</v>
      </c>
      <c r="C5" s="1" t="n">
        <v>46194</v>
      </c>
      <c r="D5" t="inlineStr">
        <is>
          <t>HALLANDS LÄN</t>
        </is>
      </c>
      <c r="E5" t="inlineStr">
        <is>
          <t>VARBERG</t>
        </is>
      </c>
      <c r="G5" t="n">
        <v>0.7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Bläsand
Kricka
Större aspvedbock
Gröngöling
Kungsfågel</t>
        </is>
      </c>
      <c r="S5">
        <f>HYPERLINK("https://klasma.github.io/Logging_1383/artfynd/A 27105-2026 artfynd.xlsx", "A 27105-2026")</f>
        <v/>
      </c>
      <c r="T5">
        <f>HYPERLINK("https://klasma.github.io/Logging_1383/kartor/A 27105-2026 karta.png", "A 27105-2026")</f>
        <v/>
      </c>
      <c r="V5">
        <f>HYPERLINK("https://klasma.github.io/Logging_1383/klagomål/A 27105-2026 FSC-klagomål.docx", "A 27105-2026")</f>
        <v/>
      </c>
      <c r="W5">
        <f>HYPERLINK("https://klasma.github.io/Logging_1383/klagomålsmail/A 27105-2026 FSC-klagomål mail.docx", "A 27105-2026")</f>
        <v/>
      </c>
      <c r="X5">
        <f>HYPERLINK("https://klasma.github.io/Logging_1383/tillsyn/A 27105-2026 tillsynsbegäran.docx", "A 27105-2026")</f>
        <v/>
      </c>
      <c r="Y5">
        <f>HYPERLINK("https://klasma.github.io/Logging_1383/tillsynsmail/A 27105-2026 tillsynsbegäran mail.docx", "A 27105-2026")</f>
        <v/>
      </c>
      <c r="Z5">
        <f>HYPERLINK("https://klasma.github.io/Logging_1383/fåglar/A 27105-2026 prioriterade fågelarter.docx", "A 27105-2026")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46194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Ask
Mjukdån
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10200-2026</t>
        </is>
      </c>
      <c r="B7" s="1" t="n">
        <v>46076</v>
      </c>
      <c r="C7" s="1" t="n">
        <v>46194</v>
      </c>
      <c r="D7" t="inlineStr">
        <is>
          <t>HALLANDS LÄN</t>
        </is>
      </c>
      <c r="E7" t="inlineStr">
        <is>
          <t>VARBERG</t>
        </is>
      </c>
      <c r="G7" t="n">
        <v>1.1</v>
      </c>
      <c r="H7" t="n">
        <v>5</v>
      </c>
      <c r="I7" t="n">
        <v>0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Backsvala
Hussvala
Ladusvala
Röd glada
Trana</t>
        </is>
      </c>
      <c r="S7">
        <f>HYPERLINK("https://klasma.github.io/Logging_1383/artfynd/A 10200-2026 artfynd.xlsx", "A 10200-2026")</f>
        <v/>
      </c>
      <c r="T7">
        <f>HYPERLINK("https://klasma.github.io/Logging_1383/kartor/A 10200-2026 karta.png", "A 10200-2026")</f>
        <v/>
      </c>
      <c r="V7">
        <f>HYPERLINK("https://klasma.github.io/Logging_1383/klagomål/A 10200-2026 FSC-klagomål.docx", "A 10200-2026")</f>
        <v/>
      </c>
      <c r="W7">
        <f>HYPERLINK("https://klasma.github.io/Logging_1383/klagomålsmail/A 10200-2026 FSC-klagomål mail.docx", "A 10200-2026")</f>
        <v/>
      </c>
      <c r="X7">
        <f>HYPERLINK("https://klasma.github.io/Logging_1383/tillsyn/A 10200-2026 tillsynsbegäran.docx", "A 10200-2026")</f>
        <v/>
      </c>
      <c r="Y7">
        <f>HYPERLINK("https://klasma.github.io/Logging_1383/tillsynsmail/A 10200-2026 tillsynsbegäran mail.docx", "A 10200-2026")</f>
        <v/>
      </c>
      <c r="Z7">
        <f>HYPERLINK("https://klasma.github.io/Logging_1383/fåglar/A 10200-2026 prioriterade fågelarter.docx", "A 10200-2026")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46194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46194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46194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46194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46194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13093-2025</t>
        </is>
      </c>
      <c r="B14" s="1" t="n">
        <v>45734</v>
      </c>
      <c r="C14" s="1" t="n">
        <v>46194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Spillkråka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  <c r="Z14">
        <f>HYPERLINK("https://klasma.github.io/Logging_1383/fåglar/A 13093-2025 prioriterade fågelarter.docx", "A 13093-2025")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46194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46194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46194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46194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3481-2025</t>
        </is>
      </c>
      <c r="B19" s="1" t="n">
        <v>45680</v>
      </c>
      <c r="C19" s="1" t="n">
        <v>46194</v>
      </c>
      <c r="D19" t="inlineStr">
        <is>
          <t>HALLANDS LÄN</t>
        </is>
      </c>
      <c r="E19" t="inlineStr">
        <is>
          <t>VARBERG</t>
        </is>
      </c>
      <c r="G19" t="n">
        <v>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Bivråk</t>
        </is>
      </c>
      <c r="S19">
        <f>HYPERLINK("https://klasma.github.io/Logging_1383/artfynd/A 3481-2025 artfynd.xlsx", "A 3481-2025")</f>
        <v/>
      </c>
      <c r="T19">
        <f>HYPERLINK("https://klasma.github.io/Logging_1383/kartor/A 3481-2025 karta.png", "A 3481-2025")</f>
        <v/>
      </c>
      <c r="V19">
        <f>HYPERLINK("https://klasma.github.io/Logging_1383/klagomål/A 3481-2025 FSC-klagomål.docx", "A 3481-2025")</f>
        <v/>
      </c>
      <c r="W19">
        <f>HYPERLINK("https://klasma.github.io/Logging_1383/klagomålsmail/A 3481-2025 FSC-klagomål mail.docx", "A 3481-2025")</f>
        <v/>
      </c>
      <c r="X19">
        <f>HYPERLINK("https://klasma.github.io/Logging_1383/tillsyn/A 3481-2025 tillsynsbegäran.docx", "A 3481-2025")</f>
        <v/>
      </c>
      <c r="Y19">
        <f>HYPERLINK("https://klasma.github.io/Logging_1383/tillsynsmail/A 3481-2025 tillsynsbegäran mail.docx", "A 3481-2025")</f>
        <v/>
      </c>
      <c r="Z19">
        <f>HYPERLINK("https://klasma.github.io/Logging_1383/fåglar/A 3481-2025 prioriterade fågelarter.docx", "A 3481-2025")</f>
        <v/>
      </c>
    </row>
    <row r="20" ht="15" customHeight="1">
      <c r="A20" t="inlineStr">
        <is>
          <t>A 7038-2024</t>
        </is>
      </c>
      <c r="B20" s="1" t="n">
        <v>45343</v>
      </c>
      <c r="C20" s="1" t="n">
        <v>46194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Dvärgjohannesört</t>
        </is>
      </c>
      <c r="S20">
        <f>HYPERLINK("https://klasma.github.io/Logging_1383/artfynd/A 7038-2024 artfynd.xlsx", "A 7038-2024")</f>
        <v/>
      </c>
      <c r="T20">
        <f>HYPERLINK("https://klasma.github.io/Logging_1383/kartor/A 7038-2024 karta.png", "A 7038-2024")</f>
        <v/>
      </c>
      <c r="V20">
        <f>HYPERLINK("https://klasma.github.io/Logging_1383/klagomål/A 7038-2024 FSC-klagomål.docx", "A 7038-2024")</f>
        <v/>
      </c>
      <c r="W20">
        <f>HYPERLINK("https://klasma.github.io/Logging_1383/klagomålsmail/A 7038-2024 FSC-klagomål mail.docx", "A 7038-2024")</f>
        <v/>
      </c>
      <c r="X20">
        <f>HYPERLINK("https://klasma.github.io/Logging_1383/tillsyn/A 7038-2024 tillsynsbegäran.docx", "A 7038-2024")</f>
        <v/>
      </c>
      <c r="Y20">
        <f>HYPERLINK("https://klasma.github.io/Logging_1383/tillsynsmail/A 7038-2024 tillsynsbegäran mail.docx", "A 7038-2024")</f>
        <v/>
      </c>
    </row>
    <row r="21" ht="15" customHeight="1">
      <c r="A21" t="inlineStr">
        <is>
          <t>A 49083-2022</t>
        </is>
      </c>
      <c r="B21" s="1" t="n">
        <v>44860</v>
      </c>
      <c r="C21" s="1" t="n">
        <v>46194</v>
      </c>
      <c r="D21" t="inlineStr">
        <is>
          <t>HALLANDS LÄN</t>
        </is>
      </c>
      <c r="E21" t="inlineStr">
        <is>
          <t>VARBERG</t>
        </is>
      </c>
      <c r="G21" t="n">
        <v>13.3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49083-2022 artfynd.xlsx", "A 49083-2022")</f>
        <v/>
      </c>
      <c r="T21">
        <f>HYPERLINK("https://klasma.github.io/Logging_1383/kartor/A 49083-2022 karta.png", "A 49083-2022")</f>
        <v/>
      </c>
      <c r="V21">
        <f>HYPERLINK("https://klasma.github.io/Logging_1383/klagomål/A 49083-2022 FSC-klagomål.docx", "A 49083-2022")</f>
        <v/>
      </c>
      <c r="W21">
        <f>HYPERLINK("https://klasma.github.io/Logging_1383/klagomålsmail/A 49083-2022 FSC-klagomål mail.docx", "A 49083-2022")</f>
        <v/>
      </c>
      <c r="X21">
        <f>HYPERLINK("https://klasma.github.io/Logging_1383/tillsyn/A 49083-2022 tillsynsbegäran.docx", "A 49083-2022")</f>
        <v/>
      </c>
      <c r="Y21">
        <f>HYPERLINK("https://klasma.github.io/Logging_1383/tillsynsmail/A 49083-2022 tillsynsbegäran mail.docx", "A 49083-2022")</f>
        <v/>
      </c>
    </row>
    <row r="22" ht="15" customHeight="1">
      <c r="A22" t="inlineStr">
        <is>
          <t>A 8906-2025</t>
        </is>
      </c>
      <c r="B22" s="1" t="n">
        <v>45713</v>
      </c>
      <c r="C22" s="1" t="n">
        <v>46194</v>
      </c>
      <c r="D22" t="inlineStr">
        <is>
          <t>HALLANDS LÄN</t>
        </is>
      </c>
      <c r="E22" t="inlineStr">
        <is>
          <t>VARBERG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Flytsvalting</t>
        </is>
      </c>
      <c r="S22">
        <f>HYPERLINK("https://klasma.github.io/Logging_1383/artfynd/A 8906-2025 artfynd.xlsx", "A 8906-2025")</f>
        <v/>
      </c>
      <c r="T22">
        <f>HYPERLINK("https://klasma.github.io/Logging_1383/kartor/A 8906-2025 karta.png", "A 8906-2025")</f>
        <v/>
      </c>
      <c r="V22">
        <f>HYPERLINK("https://klasma.github.io/Logging_1383/klagomål/A 8906-2025 FSC-klagomål.docx", "A 8906-2025")</f>
        <v/>
      </c>
      <c r="W22">
        <f>HYPERLINK("https://klasma.github.io/Logging_1383/klagomålsmail/A 8906-2025 FSC-klagomål mail.docx", "A 8906-2025")</f>
        <v/>
      </c>
      <c r="X22">
        <f>HYPERLINK("https://klasma.github.io/Logging_1383/tillsyn/A 8906-2025 tillsynsbegäran.docx", "A 8906-2025")</f>
        <v/>
      </c>
      <c r="Y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s="1" t="n">
        <v>45908</v>
      </c>
      <c r="C23" s="1" t="n">
        <v>46194</v>
      </c>
      <c r="D23" t="inlineStr">
        <is>
          <t>HALLANDS LÄN</t>
        </is>
      </c>
      <c r="E23" t="inlineStr">
        <is>
          <t>VARBERG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HYPERLINK("https://klasma.github.io/Logging_1383/artfynd/A 42724-2025 artfynd.xlsx", "A 42724-2025")</f>
        <v/>
      </c>
      <c r="T23">
        <f>HYPERLINK("https://klasma.github.io/Logging_1383/kartor/A 42724-2025 karta.png", "A 42724-2025")</f>
        <v/>
      </c>
      <c r="V23">
        <f>HYPERLINK("https://klasma.github.io/Logging_1383/klagomål/A 42724-2025 FSC-klagomål.docx", "A 42724-2025")</f>
        <v/>
      </c>
      <c r="W23">
        <f>HYPERLINK("https://klasma.github.io/Logging_1383/klagomålsmail/A 42724-2025 FSC-klagomål mail.docx", "A 42724-2025")</f>
        <v/>
      </c>
      <c r="X23">
        <f>HYPERLINK("https://klasma.github.io/Logging_1383/tillsyn/A 42724-2025 tillsynsbegäran.docx", "A 42724-2025")</f>
        <v/>
      </c>
      <c r="Y23">
        <f>HYPERLINK("https://klasma.github.io/Logging_1383/tillsynsmail/A 42724-2025 tillsynsbegäran mail.docx", "A 42724-2025")</f>
        <v/>
      </c>
    </row>
    <row r="24" ht="15" customHeight="1">
      <c r="A24" t="inlineStr">
        <is>
          <t>A 46737-2023</t>
        </is>
      </c>
      <c r="B24" s="1" t="n">
        <v>45198</v>
      </c>
      <c r="C24" s="1" t="n">
        <v>46194</v>
      </c>
      <c r="D24" t="inlineStr">
        <is>
          <t>HALLANDS LÄN</t>
        </is>
      </c>
      <c r="E24" t="inlineStr">
        <is>
          <t>VARBERG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HYPERLINK("https://klasma.github.io/Logging_1383/artfynd/A 46737-2023 artfynd.xlsx", "A 46737-2023")</f>
        <v/>
      </c>
      <c r="T24">
        <f>HYPERLINK("https://klasma.github.io/Logging_1383/kartor/A 46737-2023 karta.png", "A 46737-2023")</f>
        <v/>
      </c>
      <c r="V24">
        <f>HYPERLINK("https://klasma.github.io/Logging_1383/klagomål/A 46737-2023 FSC-klagomål.docx", "A 46737-2023")</f>
        <v/>
      </c>
      <c r="W24">
        <f>HYPERLINK("https://klasma.github.io/Logging_1383/klagomålsmail/A 46737-2023 FSC-klagomål mail.docx", "A 46737-2023")</f>
        <v/>
      </c>
      <c r="X24">
        <f>HYPERLINK("https://klasma.github.io/Logging_1383/tillsyn/A 46737-2023 tillsynsbegäran.docx", "A 46737-2023")</f>
        <v/>
      </c>
      <c r="Y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s="1" t="n">
        <v>44657</v>
      </c>
      <c r="C25" s="1" t="n">
        <v>46194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HYPERLINK("https://klasma.github.io/Logging_1383/artfynd/A 15066-2022 artfynd.xlsx", "A 15066-2022")</f>
        <v/>
      </c>
      <c r="T25">
        <f>HYPERLINK("https://klasma.github.io/Logging_1383/kartor/A 15066-2022 karta.png", "A 15066-2022")</f>
        <v/>
      </c>
      <c r="V25">
        <f>HYPERLINK("https://klasma.github.io/Logging_1383/klagomål/A 15066-2022 FSC-klagomål.docx", "A 15066-2022")</f>
        <v/>
      </c>
      <c r="W25">
        <f>HYPERLINK("https://klasma.github.io/Logging_1383/klagomålsmail/A 15066-2022 FSC-klagomål mail.docx", "A 15066-2022")</f>
        <v/>
      </c>
      <c r="X25">
        <f>HYPERLINK("https://klasma.github.io/Logging_1383/tillsyn/A 15066-2022 tillsynsbegäran.docx", "A 15066-2022")</f>
        <v/>
      </c>
      <c r="Y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s="1" t="n">
        <v>45352</v>
      </c>
      <c r="C26" s="1" t="n">
        <v>46194</v>
      </c>
      <c r="D26" t="inlineStr">
        <is>
          <t>HALLANDS LÄN</t>
        </is>
      </c>
      <c r="E26" t="inlineStr">
        <is>
          <t>VARBERG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HYPERLINK("https://klasma.github.io/Logging_1383/artfynd/A 8254-2024 artfynd.xlsx", "A 8254-2024")</f>
        <v/>
      </c>
      <c r="T26">
        <f>HYPERLINK("https://klasma.github.io/Logging_1383/kartor/A 8254-2024 karta.png", "A 8254-2024")</f>
        <v/>
      </c>
      <c r="V26">
        <f>HYPERLINK("https://klasma.github.io/Logging_1383/klagomål/A 8254-2024 FSC-klagomål.docx", "A 8254-2024")</f>
        <v/>
      </c>
      <c r="W26">
        <f>HYPERLINK("https://klasma.github.io/Logging_1383/klagomålsmail/A 8254-2024 FSC-klagomål mail.docx", "A 8254-2024")</f>
        <v/>
      </c>
      <c r="X26">
        <f>HYPERLINK("https://klasma.github.io/Logging_1383/tillsyn/A 8254-2024 tillsynsbegäran.docx", "A 8254-2024")</f>
        <v/>
      </c>
      <c r="Y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s="1" t="n">
        <v>44918</v>
      </c>
      <c r="C27" s="1" t="n">
        <v>46194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Åkersyska</t>
        </is>
      </c>
      <c r="S27">
        <f>HYPERLINK("https://klasma.github.io/Logging_1383/artfynd/A 61966-2022 artfynd.xlsx", "A 61966-2022")</f>
        <v/>
      </c>
      <c r="T27">
        <f>HYPERLINK("https://klasma.github.io/Logging_1383/kartor/A 61966-2022 karta.png", "A 61966-2022")</f>
        <v/>
      </c>
      <c r="V27">
        <f>HYPERLINK("https://klasma.github.io/Logging_1383/klagomål/A 61966-2022 FSC-klagomål.docx", "A 61966-2022")</f>
        <v/>
      </c>
      <c r="W27">
        <f>HYPERLINK("https://klasma.github.io/Logging_1383/klagomålsmail/A 61966-2022 FSC-klagomål mail.docx", "A 61966-2022")</f>
        <v/>
      </c>
      <c r="X27">
        <f>HYPERLINK("https://klasma.github.io/Logging_1383/tillsyn/A 61966-2022 tillsynsbegäran.docx", "A 61966-2022")</f>
        <v/>
      </c>
      <c r="Y27">
        <f>HYPERLINK("https://klasma.github.io/Logging_1383/tillsynsmail/A 61966-2022 tillsynsbegäran mail.docx", "A 61966-2022")</f>
        <v/>
      </c>
    </row>
    <row r="28" ht="15" customHeight="1">
      <c r="A28" t="inlineStr">
        <is>
          <t>A 27103-2026</t>
        </is>
      </c>
      <c r="B28" s="1" t="n">
        <v>46188</v>
      </c>
      <c r="C28" s="1" t="n">
        <v>46194</v>
      </c>
      <c r="D28" t="inlineStr">
        <is>
          <t>HALLANDS LÄN</t>
        </is>
      </c>
      <c r="E28" t="inlineStr">
        <is>
          <t>VARBERG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HYPERLINK("https://klasma.github.io/Logging_1383/artfynd/A 27103-2026 artfynd.xlsx", "A 27103-2026")</f>
        <v/>
      </c>
      <c r="T28">
        <f>HYPERLINK("https://klasma.github.io/Logging_1383/kartor/A 27103-2026 karta.png", "A 27103-2026")</f>
        <v/>
      </c>
      <c r="V28">
        <f>HYPERLINK("https://klasma.github.io/Logging_1383/klagomål/A 27103-2026 FSC-klagomål.docx", "A 27103-2026")</f>
        <v/>
      </c>
      <c r="W28">
        <f>HYPERLINK("https://klasma.github.io/Logging_1383/klagomålsmail/A 27103-2026 FSC-klagomål mail.docx", "A 27103-2026")</f>
        <v/>
      </c>
      <c r="X28">
        <f>HYPERLINK("https://klasma.github.io/Logging_1383/tillsyn/A 27103-2026 tillsynsbegäran.docx", "A 27103-2026")</f>
        <v/>
      </c>
      <c r="Y28">
        <f>HYPERLINK("https://klasma.github.io/Logging_1383/tillsynsmail/A 27103-2026 tillsynsbegäran mail.docx", "A 27103-2026")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46194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s="1" t="n">
        <v>44831</v>
      </c>
      <c r="C30" s="1" t="n">
        <v>46194</v>
      </c>
      <c r="D30" t="inlineStr">
        <is>
          <t>HALLANDS LÄN</t>
        </is>
      </c>
      <c r="E30" t="inlineStr">
        <is>
          <t>VARBERG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Brun glada</t>
        </is>
      </c>
      <c r="S30">
        <f>HYPERLINK("https://klasma.github.io/Logging_1383/artfynd/A 42573-2022 artfynd.xlsx", "A 42573-2022")</f>
        <v/>
      </c>
      <c r="T30">
        <f>HYPERLINK("https://klasma.github.io/Logging_1383/kartor/A 42573-2022 karta.png", "A 42573-2022")</f>
        <v/>
      </c>
      <c r="V30">
        <f>HYPERLINK("https://klasma.github.io/Logging_1383/klagomål/A 42573-2022 FSC-klagomål.docx", "A 42573-2022")</f>
        <v/>
      </c>
      <c r="W30">
        <f>HYPERLINK("https://klasma.github.io/Logging_1383/klagomålsmail/A 42573-2022 FSC-klagomål mail.docx", "A 42573-2022")</f>
        <v/>
      </c>
      <c r="X30">
        <f>HYPERLINK("https://klasma.github.io/Logging_1383/tillsyn/A 42573-2022 tillsynsbegäran.docx", "A 42573-2022")</f>
        <v/>
      </c>
      <c r="Y30">
        <f>HYPERLINK("https://klasma.github.io/Logging_1383/tillsynsmail/A 42573-2022 tillsynsbegäran mail.docx", "A 42573-2022")</f>
        <v/>
      </c>
      <c r="Z30">
        <f>HYPERLINK("https://klasma.github.io/Logging_1383/fåglar/A 42573-2022 prioriterade fågelarter.docx", "A 42573-2022")</f>
        <v/>
      </c>
    </row>
    <row r="31" ht="15" customHeight="1">
      <c r="A31" t="inlineStr">
        <is>
          <t>A 42723-2023</t>
        </is>
      </c>
      <c r="B31" s="1" t="n">
        <v>45181</v>
      </c>
      <c r="C31" s="1" t="n">
        <v>46194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HYPERLINK("https://klasma.github.io/Logging_1383/artfynd/A 42723-2023 artfynd.xlsx", "A 42723-2023")</f>
        <v/>
      </c>
      <c r="T31">
        <f>HYPERLINK("https://klasma.github.io/Logging_1383/kartor/A 42723-2023 karta.png", "A 42723-2023")</f>
        <v/>
      </c>
      <c r="V31">
        <f>HYPERLINK("https://klasma.github.io/Logging_1383/klagomål/A 42723-2023 FSC-klagomål.docx", "A 42723-2023")</f>
        <v/>
      </c>
      <c r="W31">
        <f>HYPERLINK("https://klasma.github.io/Logging_1383/klagomålsmail/A 42723-2023 FSC-klagomål mail.docx", "A 42723-2023")</f>
        <v/>
      </c>
      <c r="X31">
        <f>HYPERLINK("https://klasma.github.io/Logging_1383/tillsyn/A 42723-2023 tillsynsbegäran.docx", "A 42723-2023")</f>
        <v/>
      </c>
      <c r="Y31">
        <f>HYPERLINK("https://klasma.github.io/Logging_1383/tillsynsmail/A 42723-2023 tillsynsbegäran mail.docx", "A 42723-2023")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46194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38226-2022</t>
        </is>
      </c>
      <c r="B33" s="1" t="n">
        <v>44812</v>
      </c>
      <c r="C33" s="1" t="n">
        <v>46194</v>
      </c>
      <c r="D33" t="inlineStr">
        <is>
          <t>HALLANDS LÄN</t>
        </is>
      </c>
      <c r="E33" t="inlineStr">
        <is>
          <t>VARBERG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vattensalamander</t>
        </is>
      </c>
      <c r="S33">
        <f>HYPERLINK("https://klasma.github.io/Logging_1383/artfynd/A 38226-2022 artfynd.xlsx", "A 38226-2022")</f>
        <v/>
      </c>
      <c r="T33">
        <f>HYPERLINK("https://klasma.github.io/Logging_1383/kartor/A 38226-2022 karta.png", "A 38226-2022")</f>
        <v/>
      </c>
      <c r="V33">
        <f>HYPERLINK("https://klasma.github.io/Logging_1383/klagomål/A 38226-2022 FSC-klagomål.docx", "A 38226-2022")</f>
        <v/>
      </c>
      <c r="W33">
        <f>HYPERLINK("https://klasma.github.io/Logging_1383/klagomålsmail/A 38226-2022 FSC-klagomål mail.docx", "A 38226-2022")</f>
        <v/>
      </c>
      <c r="X33">
        <f>HYPERLINK("https://klasma.github.io/Logging_1383/tillsyn/A 38226-2022 tillsynsbegäran.docx", "A 38226-2022")</f>
        <v/>
      </c>
      <c r="Y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s="1" t="n">
        <v>45744</v>
      </c>
      <c r="C34" s="1" t="n">
        <v>46194</v>
      </c>
      <c r="D34" t="inlineStr">
        <is>
          <t>HALLANDS LÄN</t>
        </is>
      </c>
      <c r="E34" t="inlineStr">
        <is>
          <t>VARBERG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Sotvaxskivling</t>
        </is>
      </c>
      <c r="S34">
        <f>HYPERLINK("https://klasma.github.io/Logging_1383/artfynd/A 15095-2025 artfynd.xlsx", "A 15095-2025")</f>
        <v/>
      </c>
      <c r="T34">
        <f>HYPERLINK("https://klasma.github.io/Logging_1383/kartor/A 15095-2025 karta.png", "A 15095-2025")</f>
        <v/>
      </c>
      <c r="V34">
        <f>HYPERLINK("https://klasma.github.io/Logging_1383/klagomål/A 15095-2025 FSC-klagomål.docx", "A 15095-2025")</f>
        <v/>
      </c>
      <c r="W34">
        <f>HYPERLINK("https://klasma.github.io/Logging_1383/klagomålsmail/A 15095-2025 FSC-klagomål mail.docx", "A 15095-2025")</f>
        <v/>
      </c>
      <c r="X34">
        <f>HYPERLINK("https://klasma.github.io/Logging_1383/tillsyn/A 15095-2025 tillsynsbegäran.docx", "A 15095-2025")</f>
        <v/>
      </c>
      <c r="Y34">
        <f>HYPERLINK("https://klasma.github.io/Logging_1383/tillsynsmail/A 15095-2025 tillsynsbegäran mail.docx", "A 15095-2025")</f>
        <v/>
      </c>
    </row>
    <row r="35" ht="15" customHeight="1">
      <c r="A35" t="inlineStr">
        <is>
          <t>A 33106-2021</t>
        </is>
      </c>
      <c r="B35" s="1" t="n">
        <v>44376</v>
      </c>
      <c r="C35" s="1" t="n">
        <v>46194</v>
      </c>
      <c r="D35" t="inlineStr">
        <is>
          <t>HALLANDS LÄN</t>
        </is>
      </c>
      <c r="E35" t="inlineStr">
        <is>
          <t>VARBERG</t>
        </is>
      </c>
      <c r="F35" t="inlineStr">
        <is>
          <t>Kyrkan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Skirmossa</t>
        </is>
      </c>
      <c r="S35">
        <f>HYPERLINK("https://klasma.github.io/Logging_1383/artfynd/A 33106-2021 artfynd.xlsx", "A 33106-2021")</f>
        <v/>
      </c>
      <c r="T35">
        <f>HYPERLINK("https://klasma.github.io/Logging_1383/kartor/A 33106-2021 karta.png", "A 33106-2021")</f>
        <v/>
      </c>
      <c r="V35">
        <f>HYPERLINK("https://klasma.github.io/Logging_1383/klagomål/A 33106-2021 FSC-klagomål.docx", "A 33106-2021")</f>
        <v/>
      </c>
      <c r="W35">
        <f>HYPERLINK("https://klasma.github.io/Logging_1383/klagomålsmail/A 33106-2021 FSC-klagomål mail.docx", "A 33106-2021")</f>
        <v/>
      </c>
      <c r="X35">
        <f>HYPERLINK("https://klasma.github.io/Logging_1383/tillsyn/A 33106-2021 tillsynsbegäran.docx", "A 33106-2021")</f>
        <v/>
      </c>
      <c r="Y35">
        <f>HYPERLINK("https://klasma.github.io/Logging_1383/tillsynsmail/A 33106-2021 tillsynsbegäran mail.docx", "A 33106-2021")</f>
        <v/>
      </c>
    </row>
    <row r="36" ht="15" customHeight="1">
      <c r="A36" t="inlineStr">
        <is>
          <t>A 25055-2026</t>
        </is>
      </c>
      <c r="B36" s="1" t="n">
        <v>46174</v>
      </c>
      <c r="C36" s="1" t="n">
        <v>46194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HYPERLINK("https://klasma.github.io/Logging_1383/artfynd/A 25055-2026 artfynd.xlsx", "A 25055-2026")</f>
        <v/>
      </c>
      <c r="T36">
        <f>HYPERLINK("https://klasma.github.io/Logging_1383/kartor/A 25055-2026 karta.png", "A 25055-2026")</f>
        <v/>
      </c>
      <c r="V36">
        <f>HYPERLINK("https://klasma.github.io/Logging_1383/klagomål/A 25055-2026 FSC-klagomål.docx", "A 25055-2026")</f>
        <v/>
      </c>
      <c r="W36">
        <f>HYPERLINK("https://klasma.github.io/Logging_1383/klagomålsmail/A 25055-2026 FSC-klagomål mail.docx", "A 25055-2026")</f>
        <v/>
      </c>
      <c r="X36">
        <f>HYPERLINK("https://klasma.github.io/Logging_1383/tillsyn/A 25055-2026 tillsynsbegäran.docx", "A 25055-2026")</f>
        <v/>
      </c>
      <c r="Y36">
        <f>HYPERLINK("https://klasma.github.io/Logging_1383/tillsynsmail/A 25055-2026 tillsynsbegäran mail.docx", "A 25055-2026")</f>
        <v/>
      </c>
    </row>
    <row r="37" ht="15" customHeight="1">
      <c r="A37" t="inlineStr">
        <is>
          <t>A 33144-2025</t>
        </is>
      </c>
      <c r="B37" s="1" t="n">
        <v>45840</v>
      </c>
      <c r="C37" s="1" t="n">
        <v>46194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HYPERLINK("https://klasma.github.io/Logging_1383/artfynd/A 33144-2025 artfynd.xlsx", "A 33144-2025")</f>
        <v/>
      </c>
      <c r="T37">
        <f>HYPERLINK("https://klasma.github.io/Logging_1383/kartor/A 33144-2025 karta.png", "A 33144-2025")</f>
        <v/>
      </c>
      <c r="V37">
        <f>HYPERLINK("https://klasma.github.io/Logging_1383/klagomål/A 33144-2025 FSC-klagomål.docx", "A 33144-2025")</f>
        <v/>
      </c>
      <c r="W37">
        <f>HYPERLINK("https://klasma.github.io/Logging_1383/klagomålsmail/A 33144-2025 FSC-klagomål mail.docx", "A 33144-2025")</f>
        <v/>
      </c>
      <c r="X37">
        <f>HYPERLINK("https://klasma.github.io/Logging_1383/tillsyn/A 33144-2025 tillsynsbegäran.docx", "A 33144-2025")</f>
        <v/>
      </c>
      <c r="Y37">
        <f>HYPERLINK("https://klasma.github.io/Logging_1383/tillsynsmail/A 33144-2025 tillsynsbegäran mail.docx", "A 33144-2025")</f>
        <v/>
      </c>
      <c r="Z37">
        <f>HYPERLINK("https://klasma.github.io/Logging_1383/fåglar/A 33144-2025 prioriterade fågelarter.docx", "A 33144-2025")</f>
        <v/>
      </c>
    </row>
    <row r="38" ht="15" customHeight="1">
      <c r="A38" t="inlineStr">
        <is>
          <t>A 11852-2022</t>
        </is>
      </c>
      <c r="B38" s="1" t="n">
        <v>44635</v>
      </c>
      <c r="C38" s="1" t="n">
        <v>46194</v>
      </c>
      <c r="D38" t="inlineStr">
        <is>
          <t>HALLANDS LÄN</t>
        </is>
      </c>
      <c r="E38" t="inlineStr">
        <is>
          <t>VARBERG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23913-2022</t>
        </is>
      </c>
      <c r="B39" s="1" t="n">
        <v>44722</v>
      </c>
      <c r="C39" s="1" t="n">
        <v>46194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46194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46194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46194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</v>
      </c>
      <c r="C43" s="1" t="n">
        <v>46194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46194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46194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46194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46194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46194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46194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46194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46194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46194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46194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46194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46194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46194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46194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</v>
      </c>
      <c r="C59" s="1" t="n">
        <v>46194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46194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46194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46194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46194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46194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</v>
      </c>
      <c r="C67" s="1" t="n">
        <v>46194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46194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</v>
      </c>
      <c r="C69" s="1" t="n">
        <v>46194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46194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46194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46194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46194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48019-2022</t>
        </is>
      </c>
      <c r="B74" s="1" t="n">
        <v>44855</v>
      </c>
      <c r="C74" s="1" t="n">
        <v>46194</v>
      </c>
      <c r="D74" t="inlineStr">
        <is>
          <t>HALLANDS LÄN</t>
        </is>
      </c>
      <c r="E74" t="inlineStr">
        <is>
          <t>VARBERG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1076-2024</t>
        </is>
      </c>
      <c r="B75" s="1" t="n">
        <v>45302</v>
      </c>
      <c r="C75" s="1" t="n">
        <v>46194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57657-2023</t>
        </is>
      </c>
      <c r="B76" s="1" t="n">
        <v>45246</v>
      </c>
      <c r="C76" s="1" t="n">
        <v>46194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57660-2023</t>
        </is>
      </c>
      <c r="B77" s="1" t="n">
        <v>45246</v>
      </c>
      <c r="C77" s="1" t="n">
        <v>46194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57667-2023</t>
        </is>
      </c>
      <c r="B78" s="1" t="n">
        <v>45246</v>
      </c>
      <c r="C78" s="1" t="n">
        <v>46194</v>
      </c>
      <c r="D78" t="inlineStr">
        <is>
          <t>HALLANDS LÄN</t>
        </is>
      </c>
      <c r="E78" t="inlineStr">
        <is>
          <t>VARBERG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31198-2022</t>
        </is>
      </c>
      <c r="B79" s="1" t="n">
        <v>44770</v>
      </c>
      <c r="C79" s="1" t="n">
        <v>46194</v>
      </c>
      <c r="D79" t="inlineStr">
        <is>
          <t>HALLANDS LÄN</t>
        </is>
      </c>
      <c r="E79" t="inlineStr">
        <is>
          <t>VARBERG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59297-2022</t>
        </is>
      </c>
      <c r="B80" s="1" t="n">
        <v>44904</v>
      </c>
      <c r="C80" s="1" t="n">
        <v>46194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46194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1784-2022</t>
        </is>
      </c>
      <c r="B82" s="1" t="n">
        <v>44574</v>
      </c>
      <c r="C82" s="1" t="n">
        <v>46194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34558-2023</t>
        </is>
      </c>
      <c r="B83" s="1" t="n">
        <v>45140</v>
      </c>
      <c r="C83" s="1" t="n">
        <v>46194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</v>
      </c>
      <c r="C84" s="1" t="n">
        <v>46194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37223-2023</t>
        </is>
      </c>
      <c r="B85" s="1" t="n">
        <v>45155</v>
      </c>
      <c r="C85" s="1" t="n">
        <v>46194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14710-2023</t>
        </is>
      </c>
      <c r="B86" s="1" t="n">
        <v>45014</v>
      </c>
      <c r="C86" s="1" t="n">
        <v>46194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55038-2022</t>
        </is>
      </c>
      <c r="B87" s="1" t="n">
        <v>44886</v>
      </c>
      <c r="C87" s="1" t="n">
        <v>46194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41769-2024</t>
        </is>
      </c>
      <c r="B88" s="1" t="n">
        <v>45561</v>
      </c>
      <c r="C88" s="1" t="n">
        <v>46194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14536-2023</t>
        </is>
      </c>
      <c r="B89" s="1" t="n">
        <v>45013</v>
      </c>
      <c r="C89" s="1" t="n">
        <v>46194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</v>
      </c>
      <c r="C90" s="1" t="n">
        <v>46194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42917-2024</t>
        </is>
      </c>
      <c r="B91" s="1" t="n">
        <v>45567</v>
      </c>
      <c r="C91" s="1" t="n">
        <v>46194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35140-2022</t>
        </is>
      </c>
      <c r="B92" s="1" t="n">
        <v>44797</v>
      </c>
      <c r="C92" s="1" t="n">
        <v>46194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8989-2022</t>
        </is>
      </c>
      <c r="B93" s="1" t="n">
        <v>44615</v>
      </c>
      <c r="C93" s="1" t="n">
        <v>46194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9519-2023</t>
        </is>
      </c>
      <c r="B94" s="1" t="n">
        <v>44981</v>
      </c>
      <c r="C94" s="1" t="n">
        <v>46194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46194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45974-2021</t>
        </is>
      </c>
      <c r="B96" s="1" t="n">
        <v>44441</v>
      </c>
      <c r="C96" s="1" t="n">
        <v>46194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46581-2024</t>
        </is>
      </c>
      <c r="B97" s="1" t="n">
        <v>45582</v>
      </c>
      <c r="C97" s="1" t="n">
        <v>46194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14577-2025</t>
        </is>
      </c>
      <c r="B98" s="1" t="n">
        <v>45742</v>
      </c>
      <c r="C98" s="1" t="n">
        <v>46194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7480-2025</t>
        </is>
      </c>
      <c r="B99" s="1" t="n">
        <v>45705</v>
      </c>
      <c r="C99" s="1" t="n">
        <v>46194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23912-2022</t>
        </is>
      </c>
      <c r="B100" s="1" t="n">
        <v>44722</v>
      </c>
      <c r="C100" s="1" t="n">
        <v>46194</v>
      </c>
      <c r="D100" t="inlineStr">
        <is>
          <t>HALLANDS LÄN</t>
        </is>
      </c>
      <c r="E100" t="inlineStr">
        <is>
          <t>VARBERG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9349-2024</t>
        </is>
      </c>
      <c r="B101" s="1" t="n">
        <v>45359</v>
      </c>
      <c r="C101" s="1" t="n">
        <v>46194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60205-2022</t>
        </is>
      </c>
      <c r="B102" s="1" t="n">
        <v>44910</v>
      </c>
      <c r="C102" s="1" t="n">
        <v>46194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54937-2024</t>
        </is>
      </c>
      <c r="B103" s="1" t="n">
        <v>45618</v>
      </c>
      <c r="C103" s="1" t="n">
        <v>46194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28855-2022</t>
        </is>
      </c>
      <c r="B104" s="1" t="n">
        <v>44749</v>
      </c>
      <c r="C104" s="1" t="n">
        <v>46194</v>
      </c>
      <c r="D104" t="inlineStr">
        <is>
          <t>HALLANDS LÄN</t>
        </is>
      </c>
      <c r="E104" t="inlineStr">
        <is>
          <t>VARBERG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46194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10940-2022</t>
        </is>
      </c>
      <c r="B106" s="1" t="n">
        <v>44628</v>
      </c>
      <c r="C106" s="1" t="n">
        <v>46194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19732-2024</t>
        </is>
      </c>
      <c r="B107" s="1" t="n">
        <v>45432</v>
      </c>
      <c r="C107" s="1" t="n">
        <v>46194</v>
      </c>
      <c r="D107" t="inlineStr">
        <is>
          <t>HALLANDS LÄN</t>
        </is>
      </c>
      <c r="E107" t="inlineStr">
        <is>
          <t>VARBERG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4322-2022</t>
        </is>
      </c>
      <c r="B108" s="1" t="n">
        <v>44588</v>
      </c>
      <c r="C108" s="1" t="n">
        <v>46194</v>
      </c>
      <c r="D108" t="inlineStr">
        <is>
          <t>HALLANDS LÄN</t>
        </is>
      </c>
      <c r="E108" t="inlineStr">
        <is>
          <t>VARBERG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9514-2023</t>
        </is>
      </c>
      <c r="B109" s="1" t="n">
        <v>44981</v>
      </c>
      <c r="C109" s="1" t="n">
        <v>46194</v>
      </c>
      <c r="D109" t="inlineStr">
        <is>
          <t>HALLANDS LÄN</t>
        </is>
      </c>
      <c r="E109" t="inlineStr">
        <is>
          <t>VARBERG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64488-2021</t>
        </is>
      </c>
      <c r="B110" s="1" t="n">
        <v>44511</v>
      </c>
      <c r="C110" s="1" t="n">
        <v>46194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46194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26496-2024</t>
        </is>
      </c>
      <c r="B112" s="1" t="n">
        <v>45469</v>
      </c>
      <c r="C112" s="1" t="n">
        <v>46194</v>
      </c>
      <c r="D112" t="inlineStr">
        <is>
          <t>HALLANDS LÄN</t>
        </is>
      </c>
      <c r="E112" t="inlineStr">
        <is>
          <t>VARBERG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13081-2025</t>
        </is>
      </c>
      <c r="B113" s="1" t="n">
        <v>45734</v>
      </c>
      <c r="C113" s="1" t="n">
        <v>46194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</v>
      </c>
      <c r="C114" s="1" t="n">
        <v>46194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14042-2024</t>
        </is>
      </c>
      <c r="B115" s="1" t="n">
        <v>45392</v>
      </c>
      <c r="C115" s="1" t="n">
        <v>46194</v>
      </c>
      <c r="D115" t="inlineStr">
        <is>
          <t>HALLANDS LÄN</t>
        </is>
      </c>
      <c r="E115" t="inlineStr">
        <is>
          <t>VARBERG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15426-2022</t>
        </is>
      </c>
      <c r="B116" s="1" t="n">
        <v>44659</v>
      </c>
      <c r="C116" s="1" t="n">
        <v>46194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15315-2022</t>
        </is>
      </c>
      <c r="B117" s="1" t="n">
        <v>44659</v>
      </c>
      <c r="C117" s="1" t="n">
        <v>46194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44441-2024</t>
        </is>
      </c>
      <c r="B118" s="1" t="n">
        <v>45574</v>
      </c>
      <c r="C118" s="1" t="n">
        <v>46194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48065-2024</t>
        </is>
      </c>
      <c r="B119" s="1" t="n">
        <v>45589</v>
      </c>
      <c r="C119" s="1" t="n">
        <v>46194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20647-2023</t>
        </is>
      </c>
      <c r="B120" s="1" t="n">
        <v>45058</v>
      </c>
      <c r="C120" s="1" t="n">
        <v>46194</v>
      </c>
      <c r="D120" t="inlineStr">
        <is>
          <t>HALLANDS LÄN</t>
        </is>
      </c>
      <c r="E120" t="inlineStr">
        <is>
          <t>VARBERG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18329-2025</t>
        </is>
      </c>
      <c r="B121" s="1" t="n">
        <v>45762</v>
      </c>
      <c r="C121" s="1" t="n">
        <v>46194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48679-2023</t>
        </is>
      </c>
      <c r="B122" s="1" t="n">
        <v>45208</v>
      </c>
      <c r="C122" s="1" t="n">
        <v>46194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8263-2023</t>
        </is>
      </c>
      <c r="B123" s="1" t="n">
        <v>44974</v>
      </c>
      <c r="C123" s="1" t="n">
        <v>46194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15843-2024</t>
        </is>
      </c>
      <c r="B124" s="1" t="n">
        <v>45404</v>
      </c>
      <c r="C124" s="1" t="n">
        <v>46194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47478-2024</t>
        </is>
      </c>
      <c r="B125" s="1" t="n">
        <v>45587</v>
      </c>
      <c r="C125" s="1" t="n">
        <v>46194</v>
      </c>
      <c r="D125" t="inlineStr">
        <is>
          <t>HALLANDS LÄN</t>
        </is>
      </c>
      <c r="E125" t="inlineStr">
        <is>
          <t>VARBERG</t>
        </is>
      </c>
      <c r="F125" t="inlineStr">
        <is>
          <t>Kyrkan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25830-2023</t>
        </is>
      </c>
      <c r="B126" s="1" t="n">
        <v>45090</v>
      </c>
      <c r="C126" s="1" t="n">
        <v>46194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9348-2024</t>
        </is>
      </c>
      <c r="B127" s="1" t="n">
        <v>45359</v>
      </c>
      <c r="C127" s="1" t="n">
        <v>46194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46194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38615-2025</t>
        </is>
      </c>
      <c r="B129" s="1" t="n">
        <v>45884</v>
      </c>
      <c r="C129" s="1" t="n">
        <v>46194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25821-2023</t>
        </is>
      </c>
      <c r="B130" s="1" t="n">
        <v>45090</v>
      </c>
      <c r="C130" s="1" t="n">
        <v>46194</v>
      </c>
      <c r="D130" t="inlineStr">
        <is>
          <t>HALLANDS LÄN</t>
        </is>
      </c>
      <c r="E130" t="inlineStr">
        <is>
          <t>VARBERG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10229-2023</t>
        </is>
      </c>
      <c r="B131" s="1" t="n">
        <v>44980</v>
      </c>
      <c r="C131" s="1" t="n">
        <v>46194</v>
      </c>
      <c r="D131" t="inlineStr">
        <is>
          <t>HALLANDS LÄN</t>
        </is>
      </c>
      <c r="E131" t="inlineStr">
        <is>
          <t>VARBERG</t>
        </is>
      </c>
      <c r="F131" t="inlineStr">
        <is>
          <t>Övriga statliga verk och myndigheter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13713-2023</t>
        </is>
      </c>
      <c r="B132" s="1" t="n">
        <v>45007</v>
      </c>
      <c r="C132" s="1" t="n">
        <v>46194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56320-2022</t>
        </is>
      </c>
      <c r="B133" s="1" t="n">
        <v>44890</v>
      </c>
      <c r="C133" s="1" t="n">
        <v>46194</v>
      </c>
      <c r="D133" t="inlineStr">
        <is>
          <t>HALLANDS LÄN</t>
        </is>
      </c>
      <c r="E133" t="inlineStr">
        <is>
          <t>VARBERG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1254-2024</t>
        </is>
      </c>
      <c r="B134" s="1" t="n">
        <v>45302</v>
      </c>
      <c r="C134" s="1" t="n">
        <v>46194</v>
      </c>
      <c r="D134" t="inlineStr">
        <is>
          <t>HALLANDS LÄN</t>
        </is>
      </c>
      <c r="E134" t="inlineStr">
        <is>
          <t>VARBERG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36102-2021</t>
        </is>
      </c>
      <c r="B135" s="1" t="n">
        <v>44386</v>
      </c>
      <c r="C135" s="1" t="n">
        <v>46194</v>
      </c>
      <c r="D135" t="inlineStr">
        <is>
          <t>HALLANDS LÄN</t>
        </is>
      </c>
      <c r="E135" t="inlineStr">
        <is>
          <t>VARBERG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12743-2022</t>
        </is>
      </c>
      <c r="B136" s="1" t="n">
        <v>44641</v>
      </c>
      <c r="C136" s="1" t="n">
        <v>46194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16755-2024</t>
        </is>
      </c>
      <c r="B137" s="1" t="n">
        <v>45411</v>
      </c>
      <c r="C137" s="1" t="n">
        <v>46194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19595-2025</t>
        </is>
      </c>
      <c r="B138" s="1" t="n">
        <v>45770</v>
      </c>
      <c r="C138" s="1" t="n">
        <v>46194</v>
      </c>
      <c r="D138" t="inlineStr">
        <is>
          <t>HALLANDS LÄN</t>
        </is>
      </c>
      <c r="E138" t="inlineStr">
        <is>
          <t>VARBERG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58746-2024</t>
        </is>
      </c>
      <c r="B139" s="1" t="n">
        <v>45635</v>
      </c>
      <c r="C139" s="1" t="n">
        <v>46194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46782-2024</t>
        </is>
      </c>
      <c r="B140" s="1" t="n">
        <v>45583</v>
      </c>
      <c r="C140" s="1" t="n">
        <v>46194</v>
      </c>
      <c r="D140" t="inlineStr">
        <is>
          <t>HALLANDS LÄN</t>
        </is>
      </c>
      <c r="E140" t="inlineStr">
        <is>
          <t>VARBERG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694-2025</t>
        </is>
      </c>
      <c r="B141" s="1" t="n">
        <v>45665</v>
      </c>
      <c r="C141" s="1" t="n">
        <v>46194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44788-2024</t>
        </is>
      </c>
      <c r="B142" s="1" t="n">
        <v>45574</v>
      </c>
      <c r="C142" s="1" t="n">
        <v>46194</v>
      </c>
      <c r="D142" t="inlineStr">
        <is>
          <t>HALLANDS LÄN</t>
        </is>
      </c>
      <c r="E142" t="inlineStr">
        <is>
          <t>VARBERG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14538-2025</t>
        </is>
      </c>
      <c r="B143" s="1" t="n">
        <v>45741</v>
      </c>
      <c r="C143" s="1" t="n">
        <v>46194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</v>
      </c>
      <c r="C144" s="1" t="n">
        <v>46194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52285-2023</t>
        </is>
      </c>
      <c r="B145" s="1" t="n">
        <v>45224</v>
      </c>
      <c r="C145" s="1" t="n">
        <v>46194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37065-2024</t>
        </is>
      </c>
      <c r="B146" s="1" t="n">
        <v>45539</v>
      </c>
      <c r="C146" s="1" t="n">
        <v>46194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6486-2023</t>
        </is>
      </c>
      <c r="B147" s="1" t="n">
        <v>44966</v>
      </c>
      <c r="C147" s="1" t="n">
        <v>46194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45626-2024</t>
        </is>
      </c>
      <c r="B148" s="1" t="n">
        <v>45579</v>
      </c>
      <c r="C148" s="1" t="n">
        <v>46194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52975-2022</t>
        </is>
      </c>
      <c r="B149" s="1" t="n">
        <v>44875</v>
      </c>
      <c r="C149" s="1" t="n">
        <v>46194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52283-2023</t>
        </is>
      </c>
      <c r="B150" s="1" t="n">
        <v>45224</v>
      </c>
      <c r="C150" s="1" t="n">
        <v>46194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46081-2024</t>
        </is>
      </c>
      <c r="B151" s="1" t="n">
        <v>45581</v>
      </c>
      <c r="C151" s="1" t="n">
        <v>46194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14312-2022</t>
        </is>
      </c>
      <c r="B152" s="1" t="n">
        <v>44652</v>
      </c>
      <c r="C152" s="1" t="n">
        <v>46194</v>
      </c>
      <c r="D152" t="inlineStr">
        <is>
          <t>HALLANDS LÄN</t>
        </is>
      </c>
      <c r="E152" t="inlineStr">
        <is>
          <t>VARBERG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</v>
      </c>
      <c r="C153" s="1" t="n">
        <v>46194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45987-2024</t>
        </is>
      </c>
      <c r="B154" s="1" t="n">
        <v>45580</v>
      </c>
      <c r="C154" s="1" t="n">
        <v>46194</v>
      </c>
      <c r="D154" t="inlineStr">
        <is>
          <t>HALLANDS LÄN</t>
        </is>
      </c>
      <c r="E154" t="inlineStr">
        <is>
          <t>VARBERG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34028-2025</t>
        </is>
      </c>
      <c r="B155" s="1" t="n">
        <v>45845</v>
      </c>
      <c r="C155" s="1" t="n">
        <v>46194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52325-2024</t>
        </is>
      </c>
      <c r="B156" s="1" t="n">
        <v>45609</v>
      </c>
      <c r="C156" s="1" t="n">
        <v>46194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39091-2025</t>
        </is>
      </c>
      <c r="B157" s="1" t="n">
        <v>45888</v>
      </c>
      <c r="C157" s="1" t="n">
        <v>46194</v>
      </c>
      <c r="D157" t="inlineStr">
        <is>
          <t>HALLANDS LÄN</t>
        </is>
      </c>
      <c r="E157" t="inlineStr">
        <is>
          <t>VARBERG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27021-2022</t>
        </is>
      </c>
      <c r="B158" s="1" t="n">
        <v>44740</v>
      </c>
      <c r="C158" s="1" t="n">
        <v>46194</v>
      </c>
      <c r="D158" t="inlineStr">
        <is>
          <t>HALLANDS LÄN</t>
        </is>
      </c>
      <c r="E158" t="inlineStr">
        <is>
          <t>VARBERG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4082-2024</t>
        </is>
      </c>
      <c r="B159" s="1" t="n">
        <v>45323</v>
      </c>
      <c r="C159" s="1" t="n">
        <v>46194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27652-2023</t>
        </is>
      </c>
      <c r="B160" s="1" t="n">
        <v>45097</v>
      </c>
      <c r="C160" s="1" t="n">
        <v>46194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27654-2023</t>
        </is>
      </c>
      <c r="B161" s="1" t="n">
        <v>45097</v>
      </c>
      <c r="C161" s="1" t="n">
        <v>46194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18460-2025</t>
        </is>
      </c>
      <c r="B162" s="1" t="n">
        <v>45762</v>
      </c>
      <c r="C162" s="1" t="n">
        <v>46194</v>
      </c>
      <c r="D162" t="inlineStr">
        <is>
          <t>HALLANDS LÄN</t>
        </is>
      </c>
      <c r="E162" t="inlineStr">
        <is>
          <t>VARBERG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19375-2025</t>
        </is>
      </c>
      <c r="B163" s="1" t="n">
        <v>45769</v>
      </c>
      <c r="C163" s="1" t="n">
        <v>46194</v>
      </c>
      <c r="D163" t="inlineStr">
        <is>
          <t>HALLANDS LÄN</t>
        </is>
      </c>
      <c r="E163" t="inlineStr">
        <is>
          <t>VARBERG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928-2025</t>
        </is>
      </c>
      <c r="B164" s="1" t="n">
        <v>45665</v>
      </c>
      <c r="C164" s="1" t="n">
        <v>46194</v>
      </c>
      <c r="D164" t="inlineStr">
        <is>
          <t>HALLANDS LÄN</t>
        </is>
      </c>
      <c r="E164" t="inlineStr">
        <is>
          <t>VARBERG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20645-2023</t>
        </is>
      </c>
      <c r="B165" s="1" t="n">
        <v>45058</v>
      </c>
      <c r="C165" s="1" t="n">
        <v>46194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3003-2025</t>
        </is>
      </c>
      <c r="B166" s="1" t="n">
        <v>45678</v>
      </c>
      <c r="C166" s="1" t="n">
        <v>46194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33461-2023</t>
        </is>
      </c>
      <c r="B167" s="1" t="n">
        <v>45131</v>
      </c>
      <c r="C167" s="1" t="n">
        <v>46194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967-2023</t>
        </is>
      </c>
      <c r="B168" s="1" t="n">
        <v>44935</v>
      </c>
      <c r="C168" s="1" t="n">
        <v>46194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62740-2023</t>
        </is>
      </c>
      <c r="B169" s="1" t="n">
        <v>45271</v>
      </c>
      <c r="C169" s="1" t="n">
        <v>46194</v>
      </c>
      <c r="D169" t="inlineStr">
        <is>
          <t>HALLANDS LÄN</t>
        </is>
      </c>
      <c r="E169" t="inlineStr">
        <is>
          <t>VARBERG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27286-2023</t>
        </is>
      </c>
      <c r="B170" s="1" t="n">
        <v>45096</v>
      </c>
      <c r="C170" s="1" t="n">
        <v>46194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50199-2021</t>
        </is>
      </c>
      <c r="B171" s="1" t="n">
        <v>44457</v>
      </c>
      <c r="C171" s="1" t="n">
        <v>46194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56967-2022</t>
        </is>
      </c>
      <c r="B172" s="1" t="n">
        <v>44894</v>
      </c>
      <c r="C172" s="1" t="n">
        <v>46194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20702-2024</t>
        </is>
      </c>
      <c r="B173" s="1" t="n">
        <v>45436</v>
      </c>
      <c r="C173" s="1" t="n">
        <v>46194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50340-2024</t>
        </is>
      </c>
      <c r="B174" s="1" t="n">
        <v>45600</v>
      </c>
      <c r="C174" s="1" t="n">
        <v>46194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13600-2025</t>
        </is>
      </c>
      <c r="B175" s="1" t="n">
        <v>45736</v>
      </c>
      <c r="C175" s="1" t="n">
        <v>46194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45984-2024</t>
        </is>
      </c>
      <c r="B176" s="1" t="n">
        <v>45580</v>
      </c>
      <c r="C176" s="1" t="n">
        <v>46194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37971-2022</t>
        </is>
      </c>
      <c r="B177" s="1" t="n">
        <v>44811</v>
      </c>
      <c r="C177" s="1" t="n">
        <v>46194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50805-2022</t>
        </is>
      </c>
      <c r="B178" s="1" t="n">
        <v>44867</v>
      </c>
      <c r="C178" s="1" t="n">
        <v>46194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59344-2024</t>
        </is>
      </c>
      <c r="B179" s="1" t="n">
        <v>45637</v>
      </c>
      <c r="C179" s="1" t="n">
        <v>46194</v>
      </c>
      <c r="D179" t="inlineStr">
        <is>
          <t>HALLANDS LÄN</t>
        </is>
      </c>
      <c r="E179" t="inlineStr">
        <is>
          <t>VARBERG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43681-2022</t>
        </is>
      </c>
      <c r="B180" s="1" t="n">
        <v>44837</v>
      </c>
      <c r="C180" s="1" t="n">
        <v>46194</v>
      </c>
      <c r="D180" t="inlineStr">
        <is>
          <t>HALLANDS LÄN</t>
        </is>
      </c>
      <c r="E180" t="inlineStr">
        <is>
          <t>VARBERG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13799-2022</t>
        </is>
      </c>
      <c r="B181" s="1" t="n">
        <v>44649</v>
      </c>
      <c r="C181" s="1" t="n">
        <v>46194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46194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24227-2024</t>
        </is>
      </c>
      <c r="B183" s="1" t="n">
        <v>45457</v>
      </c>
      <c r="C183" s="1" t="n">
        <v>46194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35506-2024</t>
        </is>
      </c>
      <c r="B184" s="1" t="n">
        <v>45531</v>
      </c>
      <c r="C184" s="1" t="n">
        <v>46194</v>
      </c>
      <c r="D184" t="inlineStr">
        <is>
          <t>HALLANDS LÄN</t>
        </is>
      </c>
      <c r="E184" t="inlineStr">
        <is>
          <t>VARBERG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40940-2025</t>
        </is>
      </c>
      <c r="B185" s="1" t="n">
        <v>45897</v>
      </c>
      <c r="C185" s="1" t="n">
        <v>46194</v>
      </c>
      <c r="D185" t="inlineStr">
        <is>
          <t>HALLANDS LÄN</t>
        </is>
      </c>
      <c r="E185" t="inlineStr">
        <is>
          <t>VARBERG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7811-2025</t>
        </is>
      </c>
      <c r="B186" s="1" t="n">
        <v>45706</v>
      </c>
      <c r="C186" s="1" t="n">
        <v>46194</v>
      </c>
      <c r="D186" t="inlineStr">
        <is>
          <t>HALLANDS LÄN</t>
        </is>
      </c>
      <c r="E186" t="inlineStr">
        <is>
          <t>VARBERG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7812-2025</t>
        </is>
      </c>
      <c r="B187" s="1" t="n">
        <v>45706</v>
      </c>
      <c r="C187" s="1" t="n">
        <v>46194</v>
      </c>
      <c r="D187" t="inlineStr">
        <is>
          <t>HALLANDS LÄN</t>
        </is>
      </c>
      <c r="E187" t="inlineStr">
        <is>
          <t>VARBERG</t>
        </is>
      </c>
      <c r="F187" t="inlineStr">
        <is>
          <t>Övriga statliga verk och myndigheter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35018-2025</t>
        </is>
      </c>
      <c r="B188" s="1" t="n">
        <v>45851</v>
      </c>
      <c r="C188" s="1" t="n">
        <v>46194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13141-2022</t>
        </is>
      </c>
      <c r="B189" s="1" t="n">
        <v>44644</v>
      </c>
      <c r="C189" s="1" t="n">
        <v>46194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10169-2024</t>
        </is>
      </c>
      <c r="B190" s="1" t="n">
        <v>45364</v>
      </c>
      <c r="C190" s="1" t="n">
        <v>46194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10170-2024</t>
        </is>
      </c>
      <c r="B191" s="1" t="n">
        <v>45364</v>
      </c>
      <c r="C191" s="1" t="n">
        <v>46194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811-2024</t>
        </is>
      </c>
      <c r="B192" s="1" t="n">
        <v>45300</v>
      </c>
      <c r="C192" s="1" t="n">
        <v>46194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38547-2025</t>
        </is>
      </c>
      <c r="B193" s="1" t="n">
        <v>45884</v>
      </c>
      <c r="C193" s="1" t="n">
        <v>46194</v>
      </c>
      <c r="D193" t="inlineStr">
        <is>
          <t>HALLANDS LÄN</t>
        </is>
      </c>
      <c r="E193" t="inlineStr">
        <is>
          <t>VARBERG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42569-2025</t>
        </is>
      </c>
      <c r="B194" s="1" t="n">
        <v>45905</v>
      </c>
      <c r="C194" s="1" t="n">
        <v>46194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42881-2025</t>
        </is>
      </c>
      <c r="B195" s="1" t="n">
        <v>45908</v>
      </c>
      <c r="C195" s="1" t="n">
        <v>46194</v>
      </c>
      <c r="D195" t="inlineStr">
        <is>
          <t>HALLANDS LÄN</t>
        </is>
      </c>
      <c r="E195" t="inlineStr">
        <is>
          <t>VARBERG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10700-2025</t>
        </is>
      </c>
      <c r="B196" s="1" t="n">
        <v>45722</v>
      </c>
      <c r="C196" s="1" t="n">
        <v>46194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6861-2025</t>
        </is>
      </c>
      <c r="B197" s="1" t="n">
        <v>45701</v>
      </c>
      <c r="C197" s="1" t="n">
        <v>46194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43273-2025</t>
        </is>
      </c>
      <c r="B198" s="1" t="n">
        <v>45910</v>
      </c>
      <c r="C198" s="1" t="n">
        <v>46194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14303-2025</t>
        </is>
      </c>
      <c r="B199" s="1" t="n">
        <v>45740</v>
      </c>
      <c r="C199" s="1" t="n">
        <v>46194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6773-2025</t>
        </is>
      </c>
      <c r="B200" s="1" t="n">
        <v>45700</v>
      </c>
      <c r="C200" s="1" t="n">
        <v>46194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</v>
      </c>
      <c r="C201" s="1" t="n">
        <v>46194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24839-2023</t>
        </is>
      </c>
      <c r="B202" s="1" t="n">
        <v>45085</v>
      </c>
      <c r="C202" s="1" t="n">
        <v>46194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42978-2025</t>
        </is>
      </c>
      <c r="B203" s="1" t="n">
        <v>45909</v>
      </c>
      <c r="C203" s="1" t="n">
        <v>46194</v>
      </c>
      <c r="D203" t="inlineStr">
        <is>
          <t>HALLANDS LÄN</t>
        </is>
      </c>
      <c r="E203" t="inlineStr">
        <is>
          <t>VARBERG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43483-2025</t>
        </is>
      </c>
      <c r="B204" s="1" t="n">
        <v>45911</v>
      </c>
      <c r="C204" s="1" t="n">
        <v>46194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13717-2025</t>
        </is>
      </c>
      <c r="B205" s="1" t="n">
        <v>45737</v>
      </c>
      <c r="C205" s="1" t="n">
        <v>46194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43779-2025</t>
        </is>
      </c>
      <c r="B206" s="1" t="n">
        <v>45912</v>
      </c>
      <c r="C206" s="1" t="n">
        <v>46194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32930-2021</t>
        </is>
      </c>
      <c r="B207" s="1" t="n">
        <v>44375</v>
      </c>
      <c r="C207" s="1" t="n">
        <v>46194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33029-2021</t>
        </is>
      </c>
      <c r="B208" s="1" t="n">
        <v>44376</v>
      </c>
      <c r="C208" s="1" t="n">
        <v>46194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6647-2024</t>
        </is>
      </c>
      <c r="B209" s="1" t="n">
        <v>45341</v>
      </c>
      <c r="C209" s="1" t="n">
        <v>46194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15914-2025</t>
        </is>
      </c>
      <c r="B210" s="1" t="n">
        <v>45749</v>
      </c>
      <c r="C210" s="1" t="n">
        <v>46194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9741-2025</t>
        </is>
      </c>
      <c r="B211" s="1" t="n">
        <v>45716</v>
      </c>
      <c r="C211" s="1" t="n">
        <v>46194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44215-2025</t>
        </is>
      </c>
      <c r="B212" s="1" t="n">
        <v>45915</v>
      </c>
      <c r="C212" s="1" t="n">
        <v>46194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44223-2025</t>
        </is>
      </c>
      <c r="B213" s="1" t="n">
        <v>45915</v>
      </c>
      <c r="C213" s="1" t="n">
        <v>46194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16739-2025</t>
        </is>
      </c>
      <c r="B214" s="1" t="n">
        <v>45754</v>
      </c>
      <c r="C214" s="1" t="n">
        <v>46194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15035-2025</t>
        </is>
      </c>
      <c r="B215" s="1" t="n">
        <v>45743</v>
      </c>
      <c r="C215" s="1" t="n">
        <v>46194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44740-2023</t>
        </is>
      </c>
      <c r="B216" s="1" t="n">
        <v>45184</v>
      </c>
      <c r="C216" s="1" t="n">
        <v>46194</v>
      </c>
      <c r="D216" t="inlineStr">
        <is>
          <t>HALLANDS LÄN</t>
        </is>
      </c>
      <c r="E216" t="inlineStr">
        <is>
          <t>VARBERG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2407-2024</t>
        </is>
      </c>
      <c r="B217" s="1" t="n">
        <v>45310</v>
      </c>
      <c r="C217" s="1" t="n">
        <v>46194</v>
      </c>
      <c r="D217" t="inlineStr">
        <is>
          <t>HALLANDS LÄN</t>
        </is>
      </c>
      <c r="E217" t="inlineStr">
        <is>
          <t>VARBERG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7836-2025</t>
        </is>
      </c>
      <c r="B218" s="1" t="n">
        <v>45706</v>
      </c>
      <c r="C218" s="1" t="n">
        <v>46194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20597-2025</t>
        </is>
      </c>
      <c r="B219" s="1" t="n">
        <v>45775</v>
      </c>
      <c r="C219" s="1" t="n">
        <v>46194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14912-2025</t>
        </is>
      </c>
      <c r="B220" s="1" t="n">
        <v>45743</v>
      </c>
      <c r="C220" s="1" t="n">
        <v>46194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4528-2025</t>
        </is>
      </c>
      <c r="B221" s="1" t="n">
        <v>45687</v>
      </c>
      <c r="C221" s="1" t="n">
        <v>46194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7109-2023</t>
        </is>
      </c>
      <c r="B222" s="1" t="n">
        <v>44970</v>
      </c>
      <c r="C222" s="1" t="n">
        <v>46194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20050-2025</t>
        </is>
      </c>
      <c r="B223" s="1" t="n">
        <v>45772</v>
      </c>
      <c r="C223" s="1" t="n">
        <v>46194</v>
      </c>
      <c r="D223" t="inlineStr">
        <is>
          <t>HALLANDS LÄN</t>
        </is>
      </c>
      <c r="E223" t="inlineStr">
        <is>
          <t>VARBERG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46636-2025</t>
        </is>
      </c>
      <c r="B224" s="1" t="n">
        <v>45926</v>
      </c>
      <c r="C224" s="1" t="n">
        <v>46194</v>
      </c>
      <c r="D224" t="inlineStr">
        <is>
          <t>HALLANDS LÄN</t>
        </is>
      </c>
      <c r="E224" t="inlineStr">
        <is>
          <t>VARBERG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10693-2025</t>
        </is>
      </c>
      <c r="B225" s="1" t="n">
        <v>45722</v>
      </c>
      <c r="C225" s="1" t="n">
        <v>46194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46414-2025</t>
        </is>
      </c>
      <c r="B226" s="1" t="n">
        <v>45925</v>
      </c>
      <c r="C226" s="1" t="n">
        <v>46194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46026-2023</t>
        </is>
      </c>
      <c r="B227" s="1" t="n">
        <v>45196</v>
      </c>
      <c r="C227" s="1" t="n">
        <v>46194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22035-2025</t>
        </is>
      </c>
      <c r="B228" s="1" t="n">
        <v>45785</v>
      </c>
      <c r="C228" s="1" t="n">
        <v>46194</v>
      </c>
      <c r="D228" t="inlineStr">
        <is>
          <t>HALLANDS LÄN</t>
        </is>
      </c>
      <c r="E228" t="inlineStr">
        <is>
          <t>VARBERG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46939-2025</t>
        </is>
      </c>
      <c r="B229" s="1" t="n">
        <v>45929</v>
      </c>
      <c r="C229" s="1" t="n">
        <v>46194</v>
      </c>
      <c r="D229" t="inlineStr">
        <is>
          <t>HALLANDS LÄN</t>
        </is>
      </c>
      <c r="E229" t="inlineStr">
        <is>
          <t>VARBERG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46943-2025</t>
        </is>
      </c>
      <c r="B230" s="1" t="n">
        <v>45929</v>
      </c>
      <c r="C230" s="1" t="n">
        <v>46194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31826-2024</t>
        </is>
      </c>
      <c r="B231" s="1" t="n">
        <v>45509</v>
      </c>
      <c r="C231" s="1" t="n">
        <v>46194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47816-2025</t>
        </is>
      </c>
      <c r="B232" s="1" t="n">
        <v>45932</v>
      </c>
      <c r="C232" s="1" t="n">
        <v>46194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20011-2023</t>
        </is>
      </c>
      <c r="B233" s="1" t="n">
        <v>45054</v>
      </c>
      <c r="C233" s="1" t="n">
        <v>46194</v>
      </c>
      <c r="D233" t="inlineStr">
        <is>
          <t>HALLANDS LÄN</t>
        </is>
      </c>
      <c r="E233" t="inlineStr">
        <is>
          <t>VARBERG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48019-2025</t>
        </is>
      </c>
      <c r="B234" s="1" t="n">
        <v>45932</v>
      </c>
      <c r="C234" s="1" t="n">
        <v>46194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48027-2025</t>
        </is>
      </c>
      <c r="B235" s="1" t="n">
        <v>45932</v>
      </c>
      <c r="C235" s="1" t="n">
        <v>46194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</v>
      </c>
      <c r="C236" s="1" t="n">
        <v>46194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20111-2023</t>
        </is>
      </c>
      <c r="B237" s="1" t="n">
        <v>45055</v>
      </c>
      <c r="C237" s="1" t="n">
        <v>46194</v>
      </c>
      <c r="D237" t="inlineStr">
        <is>
          <t>HALLANDS LÄN</t>
        </is>
      </c>
      <c r="E237" t="inlineStr">
        <is>
          <t>VARBERG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46395-2023</t>
        </is>
      </c>
      <c r="B238" s="1" t="n">
        <v>45197</v>
      </c>
      <c r="C238" s="1" t="n">
        <v>46194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23052-2023</t>
        </is>
      </c>
      <c r="B239" s="1" t="n">
        <v>45075</v>
      </c>
      <c r="C239" s="1" t="n">
        <v>46194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73820-2021</t>
        </is>
      </c>
      <c r="B240" s="1" t="n">
        <v>44552</v>
      </c>
      <c r="C240" s="1" t="n">
        <v>46194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57669-2023</t>
        </is>
      </c>
      <c r="B241" s="1" t="n">
        <v>45246</v>
      </c>
      <c r="C241" s="1" t="n">
        <v>46194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10687-2025</t>
        </is>
      </c>
      <c r="B242" s="1" t="n">
        <v>45722</v>
      </c>
      <c r="C242" s="1" t="n">
        <v>46194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10695-2025</t>
        </is>
      </c>
      <c r="B243" s="1" t="n">
        <v>45722</v>
      </c>
      <c r="C243" s="1" t="n">
        <v>46194</v>
      </c>
      <c r="D243" t="inlineStr">
        <is>
          <t>HALLANDS LÄN</t>
        </is>
      </c>
      <c r="E243" t="inlineStr">
        <is>
          <t>VARBERG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23366-2025</t>
        </is>
      </c>
      <c r="B244" s="1" t="n">
        <v>45791</v>
      </c>
      <c r="C244" s="1" t="n">
        <v>46194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12299-2024</t>
        </is>
      </c>
      <c r="B245" s="1" t="n">
        <v>45378</v>
      </c>
      <c r="C245" s="1" t="n">
        <v>46194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23365-2025</t>
        </is>
      </c>
      <c r="B246" s="1" t="n">
        <v>45791</v>
      </c>
      <c r="C246" s="1" t="n">
        <v>46194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49200-2025</t>
        </is>
      </c>
      <c r="B247" s="1" t="n">
        <v>45938</v>
      </c>
      <c r="C247" s="1" t="n">
        <v>46194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23392-2025</t>
        </is>
      </c>
      <c r="B248" s="1" t="n">
        <v>45791</v>
      </c>
      <c r="C248" s="1" t="n">
        <v>46194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44793-2024</t>
        </is>
      </c>
      <c r="B249" s="1" t="n">
        <v>45574</v>
      </c>
      <c r="C249" s="1" t="n">
        <v>46194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23359-2025</t>
        </is>
      </c>
      <c r="B250" s="1" t="n">
        <v>45791</v>
      </c>
      <c r="C250" s="1" t="n">
        <v>46194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49182-2023</t>
        </is>
      </c>
      <c r="B251" s="1" t="n">
        <v>45210</v>
      </c>
      <c r="C251" s="1" t="n">
        <v>46194</v>
      </c>
      <c r="D251" t="inlineStr">
        <is>
          <t>HALLANDS LÄN</t>
        </is>
      </c>
      <c r="E251" t="inlineStr">
        <is>
          <t>VARBERG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25989-2022</t>
        </is>
      </c>
      <c r="B252" s="1" t="n">
        <v>44734</v>
      </c>
      <c r="C252" s="1" t="n">
        <v>46194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15250-2025</t>
        </is>
      </c>
      <c r="B253" s="1" t="n">
        <v>45744</v>
      </c>
      <c r="C253" s="1" t="n">
        <v>46194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50490-2025</t>
        </is>
      </c>
      <c r="B254" s="1" t="n">
        <v>45945</v>
      </c>
      <c r="C254" s="1" t="n">
        <v>46194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24961-2023</t>
        </is>
      </c>
      <c r="B255" s="1" t="n">
        <v>45085</v>
      </c>
      <c r="C255" s="1" t="n">
        <v>46194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23471-2025</t>
        </is>
      </c>
      <c r="B256" s="1" t="n">
        <v>45792</v>
      </c>
      <c r="C256" s="1" t="n">
        <v>46194</v>
      </c>
      <c r="D256" t="inlineStr">
        <is>
          <t>HALLANDS LÄN</t>
        </is>
      </c>
      <c r="E256" t="inlineStr">
        <is>
          <t>VARBERG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46913-2025</t>
        </is>
      </c>
      <c r="B257" s="1" t="n">
        <v>45929</v>
      </c>
      <c r="C257" s="1" t="n">
        <v>46194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50456-2025</t>
        </is>
      </c>
      <c r="B258" s="1" t="n">
        <v>45945</v>
      </c>
      <c r="C258" s="1" t="n">
        <v>46194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63340-2021</t>
        </is>
      </c>
      <c r="B259" s="1" t="n">
        <v>44508</v>
      </c>
      <c r="C259" s="1" t="n">
        <v>46194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50850-2025</t>
        </is>
      </c>
      <c r="B260" s="1" t="n">
        <v>45946</v>
      </c>
      <c r="C260" s="1" t="n">
        <v>46194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20045-2024</t>
        </is>
      </c>
      <c r="B261" s="1" t="n">
        <v>45434</v>
      </c>
      <c r="C261" s="1" t="n">
        <v>46194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50465-2025</t>
        </is>
      </c>
      <c r="B262" s="1" t="n">
        <v>45945</v>
      </c>
      <c r="C262" s="1" t="n">
        <v>46194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6008-2024</t>
        </is>
      </c>
      <c r="B263" s="1" t="n">
        <v>45336</v>
      </c>
      <c r="C263" s="1" t="n">
        <v>46194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20704-2023</t>
        </is>
      </c>
      <c r="B264" s="1" t="n">
        <v>45058</v>
      </c>
      <c r="C264" s="1" t="n">
        <v>46194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23886-2024</t>
        </is>
      </c>
      <c r="B265" s="1" t="n">
        <v>45455</v>
      </c>
      <c r="C265" s="1" t="n">
        <v>46194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52074-2025</t>
        </is>
      </c>
      <c r="B266" s="1" t="n">
        <v>45952</v>
      </c>
      <c r="C266" s="1" t="n">
        <v>46194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63667-2023</t>
        </is>
      </c>
      <c r="B267" s="1" t="n">
        <v>45275</v>
      </c>
      <c r="C267" s="1" t="n">
        <v>46194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10808-2024</t>
        </is>
      </c>
      <c r="B268" s="1" t="n">
        <v>45369</v>
      </c>
      <c r="C268" s="1" t="n">
        <v>46194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968-2023</t>
        </is>
      </c>
      <c r="B269" s="1" t="n">
        <v>44935</v>
      </c>
      <c r="C269" s="1" t="n">
        <v>46194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25813-2025</t>
        </is>
      </c>
      <c r="B270" s="1" t="n">
        <v>45804</v>
      </c>
      <c r="C270" s="1" t="n">
        <v>46194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25872-2025</t>
        </is>
      </c>
      <c r="B271" s="1" t="n">
        <v>45804</v>
      </c>
      <c r="C271" s="1" t="n">
        <v>46194</v>
      </c>
      <c r="D271" t="inlineStr">
        <is>
          <t>HALLANDS LÄN</t>
        </is>
      </c>
      <c r="E271" t="inlineStr">
        <is>
          <t>VARBERG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52595-2025</t>
        </is>
      </c>
      <c r="B272" s="1" t="n">
        <v>45954</v>
      </c>
      <c r="C272" s="1" t="n">
        <v>46194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25805-2025</t>
        </is>
      </c>
      <c r="B273" s="1" t="n">
        <v>45804</v>
      </c>
      <c r="C273" s="1" t="n">
        <v>46194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15869-2025</t>
        </is>
      </c>
      <c r="B274" s="1" t="n">
        <v>45749</v>
      </c>
      <c r="C274" s="1" t="n">
        <v>46194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26202-2026</t>
        </is>
      </c>
      <c r="B275" s="1" t="n">
        <v>46182</v>
      </c>
      <c r="C275" s="1" t="n">
        <v>46194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26117-2025</t>
        </is>
      </c>
      <c r="B276" s="1" t="n">
        <v>45805</v>
      </c>
      <c r="C276" s="1" t="n">
        <v>46194</v>
      </c>
      <c r="D276" t="inlineStr">
        <is>
          <t>HALLANDS LÄN</t>
        </is>
      </c>
      <c r="E276" t="inlineStr">
        <is>
          <t>VARBERG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28092-2024</t>
        </is>
      </c>
      <c r="B277" s="1" t="n">
        <v>45476</v>
      </c>
      <c r="C277" s="1" t="n">
        <v>46194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54048-2021</t>
        </is>
      </c>
      <c r="B278" s="1" t="n">
        <v>44470</v>
      </c>
      <c r="C278" s="1" t="n">
        <v>46194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</v>
      </c>
      <c r="C279" s="1" t="n">
        <v>46194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53669-2025</t>
        </is>
      </c>
      <c r="B280" s="1" t="n">
        <v>45960</v>
      </c>
      <c r="C280" s="1" t="n">
        <v>46194</v>
      </c>
      <c r="D280" t="inlineStr">
        <is>
          <t>HALLANDS LÄN</t>
        </is>
      </c>
      <c r="E280" t="inlineStr">
        <is>
          <t>VARBERG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27100-2026</t>
        </is>
      </c>
      <c r="B281" s="1" t="n">
        <v>46188</v>
      </c>
      <c r="C281" s="1" t="n">
        <v>46194</v>
      </c>
      <c r="D281" t="inlineStr">
        <is>
          <t>HALLANDS LÄN</t>
        </is>
      </c>
      <c r="E281" t="inlineStr">
        <is>
          <t>VARBERG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53547-2025</t>
        </is>
      </c>
      <c r="B282" s="1" t="n">
        <v>45960</v>
      </c>
      <c r="C282" s="1" t="n">
        <v>46194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</v>
      </c>
      <c r="C283" s="1" t="n">
        <v>46194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5994-2024</t>
        </is>
      </c>
      <c r="B284" s="1" t="n">
        <v>45336</v>
      </c>
      <c r="C284" s="1" t="n">
        <v>46194</v>
      </c>
      <c r="D284" t="inlineStr">
        <is>
          <t>HALLANDS LÄN</t>
        </is>
      </c>
      <c r="E284" t="inlineStr">
        <is>
          <t>VARBERG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57562-2022</t>
        </is>
      </c>
      <c r="B285" s="1" t="n">
        <v>44896</v>
      </c>
      <c r="C285" s="1" t="n">
        <v>46194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27524-2025</t>
        </is>
      </c>
      <c r="B286" s="1" t="n">
        <v>45813</v>
      </c>
      <c r="C286" s="1" t="n">
        <v>46194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7124-2024</t>
        </is>
      </c>
      <c r="B287" s="1" t="n">
        <v>45344</v>
      </c>
      <c r="C287" s="1" t="n">
        <v>46194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14536-2025</t>
        </is>
      </c>
      <c r="B288" s="1" t="n">
        <v>45741</v>
      </c>
      <c r="C288" s="1" t="n">
        <v>46194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3538-2024</t>
        </is>
      </c>
      <c r="B289" s="1" t="n">
        <v>45320</v>
      </c>
      <c r="C289" s="1" t="n">
        <v>46194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9885-2023</t>
        </is>
      </c>
      <c r="B290" s="1" t="n">
        <v>44985</v>
      </c>
      <c r="C290" s="1" t="n">
        <v>46194</v>
      </c>
      <c r="D290" t="inlineStr">
        <is>
          <t>HALLANDS LÄN</t>
        </is>
      </c>
      <c r="E290" t="inlineStr">
        <is>
          <t>VARBERG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51932-2024</t>
        </is>
      </c>
      <c r="B291" s="1" t="n">
        <v>45607</v>
      </c>
      <c r="C291" s="1" t="n">
        <v>46194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41629-2022</t>
        </is>
      </c>
      <c r="B292" s="1" t="n">
        <v>44827</v>
      </c>
      <c r="C292" s="1" t="n">
        <v>46194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55319-2025</t>
        </is>
      </c>
      <c r="B293" s="1" t="n">
        <v>45971</v>
      </c>
      <c r="C293" s="1" t="n">
        <v>46194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29364-2025</t>
        </is>
      </c>
      <c r="B294" s="1" t="n">
        <v>45824</v>
      </c>
      <c r="C294" s="1" t="n">
        <v>46194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29318-2025</t>
        </is>
      </c>
      <c r="B295" s="1" t="n">
        <v>45824</v>
      </c>
      <c r="C295" s="1" t="n">
        <v>46194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71841-2021</t>
        </is>
      </c>
      <c r="B296" s="1" t="n">
        <v>44543</v>
      </c>
      <c r="C296" s="1" t="n">
        <v>46194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29634-2025</t>
        </is>
      </c>
      <c r="B297" s="1" t="n">
        <v>45825</v>
      </c>
      <c r="C297" s="1" t="n">
        <v>46194</v>
      </c>
      <c r="D297" t="inlineStr">
        <is>
          <t>HALLANDS LÄN</t>
        </is>
      </c>
      <c r="E297" t="inlineStr">
        <is>
          <t>VARBERG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29630-2025</t>
        </is>
      </c>
      <c r="B298" s="1" t="n">
        <v>45825</v>
      </c>
      <c r="C298" s="1" t="n">
        <v>46194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14219-2025</t>
        </is>
      </c>
      <c r="B299" s="1" t="n">
        <v>45740</v>
      </c>
      <c r="C299" s="1" t="n">
        <v>46194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14856-2025</t>
        </is>
      </c>
      <c r="B300" s="1" t="n">
        <v>45743</v>
      </c>
      <c r="C300" s="1" t="n">
        <v>46194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</v>
      </c>
      <c r="C301" s="1" t="n">
        <v>46194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55793-2025</t>
        </is>
      </c>
      <c r="B302" s="1" t="n">
        <v>45972</v>
      </c>
      <c r="C302" s="1" t="n">
        <v>46194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9235-2023</t>
        </is>
      </c>
      <c r="B303" s="1" t="n">
        <v>44980</v>
      </c>
      <c r="C303" s="1" t="n">
        <v>46194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55893-2025</t>
        </is>
      </c>
      <c r="B304" s="1" t="n">
        <v>45973</v>
      </c>
      <c r="C304" s="1" t="n">
        <v>46194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5597-2022</t>
        </is>
      </c>
      <c r="B305" s="1" t="n">
        <v>44595</v>
      </c>
      <c r="C305" s="1" t="n">
        <v>46194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56920-2025</t>
        </is>
      </c>
      <c r="B306" s="1" t="n">
        <v>45978</v>
      </c>
      <c r="C306" s="1" t="n">
        <v>46194</v>
      </c>
      <c r="D306" t="inlineStr">
        <is>
          <t>HALLANDS LÄN</t>
        </is>
      </c>
      <c r="E306" t="inlineStr">
        <is>
          <t>VARBERG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56923-2025</t>
        </is>
      </c>
      <c r="B307" s="1" t="n">
        <v>45978</v>
      </c>
      <c r="C307" s="1" t="n">
        <v>46194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64767-2023</t>
        </is>
      </c>
      <c r="B308" s="1" t="n">
        <v>45281</v>
      </c>
      <c r="C308" s="1" t="n">
        <v>46194</v>
      </c>
      <c r="D308" t="inlineStr">
        <is>
          <t>HALLANDS LÄN</t>
        </is>
      </c>
      <c r="E308" t="inlineStr">
        <is>
          <t>VARBERG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7609-2022</t>
        </is>
      </c>
      <c r="B309" s="1" t="n">
        <v>44607</v>
      </c>
      <c r="C309" s="1" t="n">
        <v>46194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9465-2023</t>
        </is>
      </c>
      <c r="B310" s="1" t="n">
        <v>44981</v>
      </c>
      <c r="C310" s="1" t="n">
        <v>46194</v>
      </c>
      <c r="D310" t="inlineStr">
        <is>
          <t>HALLANDS LÄN</t>
        </is>
      </c>
      <c r="E310" t="inlineStr">
        <is>
          <t>VARBERG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46194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57684-2025</t>
        </is>
      </c>
      <c r="B312" s="1" t="n">
        <v>45980</v>
      </c>
      <c r="C312" s="1" t="n">
        <v>46194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57237-2025</t>
        </is>
      </c>
      <c r="B313" s="1" t="n">
        <v>45979</v>
      </c>
      <c r="C313" s="1" t="n">
        <v>46194</v>
      </c>
      <c r="D313" t="inlineStr">
        <is>
          <t>HALLANDS LÄN</t>
        </is>
      </c>
      <c r="E313" t="inlineStr">
        <is>
          <t>VARBERG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57659-2023</t>
        </is>
      </c>
      <c r="B314" s="1" t="n">
        <v>45246</v>
      </c>
      <c r="C314" s="1" t="n">
        <v>46194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32307-2025</t>
        </is>
      </c>
      <c r="B315" s="1" t="n">
        <v>45835</v>
      </c>
      <c r="C315" s="1" t="n">
        <v>46194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70040-2021</t>
        </is>
      </c>
      <c r="B316" s="1" t="n">
        <v>44533</v>
      </c>
      <c r="C316" s="1" t="n">
        <v>46194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</v>
      </c>
      <c r="C317" s="1" t="n">
        <v>46194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</v>
      </c>
      <c r="C318" s="1" t="n">
        <v>46194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27099-2026</t>
        </is>
      </c>
      <c r="B319" s="1" t="n">
        <v>46188</v>
      </c>
      <c r="C319" s="1" t="n">
        <v>46194</v>
      </c>
      <c r="D319" t="inlineStr">
        <is>
          <t>HALLANDS LÄN</t>
        </is>
      </c>
      <c r="E319" t="inlineStr">
        <is>
          <t>VARBERG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19837-2025</t>
        </is>
      </c>
      <c r="B320" s="1" t="n">
        <v>45771</v>
      </c>
      <c r="C320" s="1" t="n">
        <v>46194</v>
      </c>
      <c r="D320" t="inlineStr">
        <is>
          <t>HALLANDS LÄN</t>
        </is>
      </c>
      <c r="E320" t="inlineStr">
        <is>
          <t>VARBERG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58397-2025</t>
        </is>
      </c>
      <c r="B321" s="1" t="n">
        <v>45985</v>
      </c>
      <c r="C321" s="1" t="n">
        <v>46194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58425-2025</t>
        </is>
      </c>
      <c r="B322" s="1" t="n">
        <v>45985</v>
      </c>
      <c r="C322" s="1" t="n">
        <v>46194</v>
      </c>
      <c r="D322" t="inlineStr">
        <is>
          <t>HALLANDS LÄN</t>
        </is>
      </c>
      <c r="E322" t="inlineStr">
        <is>
          <t>VARBERG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</v>
      </c>
      <c r="C323" s="1" t="n">
        <v>46194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44619-2024</t>
        </is>
      </c>
      <c r="B324" s="1" t="n">
        <v>45574</v>
      </c>
      <c r="C324" s="1" t="n">
        <v>46194</v>
      </c>
      <c r="D324" t="inlineStr">
        <is>
          <t>HALLANDS LÄN</t>
        </is>
      </c>
      <c r="E324" t="inlineStr">
        <is>
          <t>VARBERG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59108-2025</t>
        </is>
      </c>
      <c r="B325" s="1" t="n">
        <v>45988</v>
      </c>
      <c r="C325" s="1" t="n">
        <v>46194</v>
      </c>
      <c r="D325" t="inlineStr">
        <is>
          <t>HALLANDS LÄN</t>
        </is>
      </c>
      <c r="E325" t="inlineStr">
        <is>
          <t>VARBERG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46578-2024</t>
        </is>
      </c>
      <c r="B326" s="1" t="n">
        <v>45582</v>
      </c>
      <c r="C326" s="1" t="n">
        <v>46194</v>
      </c>
      <c r="D326" t="inlineStr">
        <is>
          <t>HALLANDS LÄN</t>
        </is>
      </c>
      <c r="E326" t="inlineStr">
        <is>
          <t>VARBERG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35126-2025</t>
        </is>
      </c>
      <c r="B327" s="1" t="n">
        <v>45852</v>
      </c>
      <c r="C327" s="1" t="n">
        <v>46194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34949-2025</t>
        </is>
      </c>
      <c r="B328" s="1" t="n">
        <v>45849</v>
      </c>
      <c r="C328" s="1" t="n">
        <v>46194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18343-2024</t>
        </is>
      </c>
      <c r="B329" s="1" t="n">
        <v>45422</v>
      </c>
      <c r="C329" s="1" t="n">
        <v>46194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35116-2025</t>
        </is>
      </c>
      <c r="B330" s="1" t="n">
        <v>45852</v>
      </c>
      <c r="C330" s="1" t="n">
        <v>46194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</v>
      </c>
      <c r="C331" s="1" t="n">
        <v>46194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13430-2025</t>
        </is>
      </c>
      <c r="B332" s="1" t="n">
        <v>45736</v>
      </c>
      <c r="C332" s="1" t="n">
        <v>46194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27275-2026</t>
        </is>
      </c>
      <c r="B333" s="1" t="n">
        <v>46188</v>
      </c>
      <c r="C333" s="1" t="n">
        <v>46194</v>
      </c>
      <c r="D333" t="inlineStr">
        <is>
          <t>HALLANDS LÄN</t>
        </is>
      </c>
      <c r="E333" t="inlineStr">
        <is>
          <t>VARBERG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20072-2024</t>
        </is>
      </c>
      <c r="B334" s="1" t="n">
        <v>45434</v>
      </c>
      <c r="C334" s="1" t="n">
        <v>46194</v>
      </c>
      <c r="D334" t="inlineStr">
        <is>
          <t>HALLANDS LÄN</t>
        </is>
      </c>
      <c r="E334" t="inlineStr">
        <is>
          <t>VARBERG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10688-2025</t>
        </is>
      </c>
      <c r="B335" s="1" t="n">
        <v>45722</v>
      </c>
      <c r="C335" s="1" t="n">
        <v>46194</v>
      </c>
      <c r="D335" t="inlineStr">
        <is>
          <t>HALLANDS LÄN</t>
        </is>
      </c>
      <c r="E335" t="inlineStr">
        <is>
          <t>VARBERG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</v>
      </c>
      <c r="C336" s="1" t="n">
        <v>46194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60207-2025</t>
        </is>
      </c>
      <c r="B337" s="1" t="n">
        <v>45994</v>
      </c>
      <c r="C337" s="1" t="n">
        <v>46194</v>
      </c>
      <c r="D337" t="inlineStr">
        <is>
          <t>HALLANDS LÄN</t>
        </is>
      </c>
      <c r="E337" t="inlineStr">
        <is>
          <t>VARBERG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60212-2025</t>
        </is>
      </c>
      <c r="B338" s="1" t="n">
        <v>45994</v>
      </c>
      <c r="C338" s="1" t="n">
        <v>46194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60209-2025</t>
        </is>
      </c>
      <c r="B339" s="1" t="n">
        <v>45994</v>
      </c>
      <c r="C339" s="1" t="n">
        <v>46194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36051-2025</t>
        </is>
      </c>
      <c r="B340" s="1" t="n">
        <v>45866</v>
      </c>
      <c r="C340" s="1" t="n">
        <v>46194</v>
      </c>
      <c r="D340" t="inlineStr">
        <is>
          <t>HALLANDS LÄN</t>
        </is>
      </c>
      <c r="E340" t="inlineStr">
        <is>
          <t>VARBERG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7695-2024</t>
        </is>
      </c>
      <c r="B341" s="1" t="n">
        <v>45349</v>
      </c>
      <c r="C341" s="1" t="n">
        <v>46194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6803-2023</t>
        </is>
      </c>
      <c r="B342" s="1" t="n">
        <v>44967</v>
      </c>
      <c r="C342" s="1" t="n">
        <v>46194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25242-2023</t>
        </is>
      </c>
      <c r="B343" s="1" t="n">
        <v>45086</v>
      </c>
      <c r="C343" s="1" t="n">
        <v>46194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23213-2023</t>
        </is>
      </c>
      <c r="B344" s="1" t="n">
        <v>45075</v>
      </c>
      <c r="C344" s="1" t="n">
        <v>46194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46194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36481-2025</t>
        </is>
      </c>
      <c r="B346" s="1" t="n">
        <v>45869</v>
      </c>
      <c r="C346" s="1" t="n">
        <v>46194</v>
      </c>
      <c r="D346" t="inlineStr">
        <is>
          <t>HALLANDS LÄN</t>
        </is>
      </c>
      <c r="E346" t="inlineStr">
        <is>
          <t>VARBERG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3437-2023</t>
        </is>
      </c>
      <c r="B347" s="1" t="n">
        <v>44949</v>
      </c>
      <c r="C347" s="1" t="n">
        <v>46194</v>
      </c>
      <c r="D347" t="inlineStr">
        <is>
          <t>HALLANDS LÄN</t>
        </is>
      </c>
      <c r="E347" t="inlineStr">
        <is>
          <t>VARBERG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56853-2021</t>
        </is>
      </c>
      <c r="B348" s="1" t="n">
        <v>44481</v>
      </c>
      <c r="C348" s="1" t="n">
        <v>46194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46877-2023</t>
        </is>
      </c>
      <c r="B349" s="1" t="n">
        <v>45200</v>
      </c>
      <c r="C349" s="1" t="n">
        <v>46194</v>
      </c>
      <c r="D349" t="inlineStr">
        <is>
          <t>HALLANDS LÄN</t>
        </is>
      </c>
      <c r="E349" t="inlineStr">
        <is>
          <t>VARBERG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27615-2026</t>
        </is>
      </c>
      <c r="B350" s="1" t="n">
        <v>46190</v>
      </c>
      <c r="C350" s="1" t="n">
        <v>46194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61845-2025</t>
        </is>
      </c>
      <c r="B351" s="1" t="n">
        <v>46003</v>
      </c>
      <c r="C351" s="1" t="n">
        <v>46194</v>
      </c>
      <c r="D351" t="inlineStr">
        <is>
          <t>HALLANDS LÄN</t>
        </is>
      </c>
      <c r="E351" t="inlineStr">
        <is>
          <t>VARBERG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49760-2024</t>
        </is>
      </c>
      <c r="B352" s="1" t="n">
        <v>45597</v>
      </c>
      <c r="C352" s="1" t="n">
        <v>46194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9614-2024</t>
        </is>
      </c>
      <c r="B353" s="1" t="n">
        <v>45361</v>
      </c>
      <c r="C353" s="1" t="n">
        <v>46194</v>
      </c>
      <c r="D353" t="inlineStr">
        <is>
          <t>HALLANDS LÄN</t>
        </is>
      </c>
      <c r="E353" t="inlineStr">
        <is>
          <t>VARBERG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61848-2025</t>
        </is>
      </c>
      <c r="B354" s="1" t="n">
        <v>46003</v>
      </c>
      <c r="C354" s="1" t="n">
        <v>46194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20624-2026</t>
        </is>
      </c>
      <c r="B355" s="1" t="n">
        <v>46141</v>
      </c>
      <c r="C355" s="1" t="n">
        <v>46194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35238-2024</t>
        </is>
      </c>
      <c r="B356" s="1" t="n">
        <v>45530</v>
      </c>
      <c r="C356" s="1" t="n">
        <v>46194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42047-2024</t>
        </is>
      </c>
      <c r="B357" s="1" t="n">
        <v>45561</v>
      </c>
      <c r="C357" s="1" t="n">
        <v>46194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62655-2023</t>
        </is>
      </c>
      <c r="B358" s="1" t="n">
        <v>45271</v>
      </c>
      <c r="C358" s="1" t="n">
        <v>46194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27655-2026</t>
        </is>
      </c>
      <c r="B359" s="1" t="n">
        <v>46190</v>
      </c>
      <c r="C359" s="1" t="n">
        <v>46194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</v>
      </c>
      <c r="C360" s="1" t="n">
        <v>46194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9572-2023</t>
        </is>
      </c>
      <c r="B361" s="1" t="n">
        <v>44982</v>
      </c>
      <c r="C361" s="1" t="n">
        <v>46194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41864-2022</t>
        </is>
      </c>
      <c r="B362" s="1" t="n">
        <v>44829</v>
      </c>
      <c r="C362" s="1" t="n">
        <v>46194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62791-2023</t>
        </is>
      </c>
      <c r="B363" s="1" t="n">
        <v>45271</v>
      </c>
      <c r="C363" s="1" t="n">
        <v>46194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31919-2021</t>
        </is>
      </c>
      <c r="B364" s="1" t="n">
        <v>44370</v>
      </c>
      <c r="C364" s="1" t="n">
        <v>46194</v>
      </c>
      <c r="D364" t="inlineStr">
        <is>
          <t>HALLANDS LÄN</t>
        </is>
      </c>
      <c r="E364" t="inlineStr">
        <is>
          <t>VARBERG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28643-2025</t>
        </is>
      </c>
      <c r="B365" s="1" t="n">
        <v>45819</v>
      </c>
      <c r="C365" s="1" t="n">
        <v>46194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10428-2024</t>
        </is>
      </c>
      <c r="B366" s="1" t="n">
        <v>45365</v>
      </c>
      <c r="C366" s="1" t="n">
        <v>46194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2532-2024</t>
        </is>
      </c>
      <c r="B367" s="1" t="n">
        <v>45313</v>
      </c>
      <c r="C367" s="1" t="n">
        <v>46194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48454-2024</t>
        </is>
      </c>
      <c r="B368" s="1" t="n">
        <v>45590</v>
      </c>
      <c r="C368" s="1" t="n">
        <v>46194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55705-2024</t>
        </is>
      </c>
      <c r="B369" s="1" t="n">
        <v>45622</v>
      </c>
      <c r="C369" s="1" t="n">
        <v>46194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30910-2022</t>
        </is>
      </c>
      <c r="B370" s="1" t="n">
        <v>44767</v>
      </c>
      <c r="C370" s="1" t="n">
        <v>46194</v>
      </c>
      <c r="D370" t="inlineStr">
        <is>
          <t>HALLANDS LÄN</t>
        </is>
      </c>
      <c r="E370" t="inlineStr">
        <is>
          <t>VARBERG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30917-2022</t>
        </is>
      </c>
      <c r="B371" s="1" t="n">
        <v>44767</v>
      </c>
      <c r="C371" s="1" t="n">
        <v>46194</v>
      </c>
      <c r="D371" t="inlineStr">
        <is>
          <t>HALLANDS LÄN</t>
        </is>
      </c>
      <c r="E371" t="inlineStr">
        <is>
          <t>VARBERG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48453-2024</t>
        </is>
      </c>
      <c r="B372" s="1" t="n">
        <v>45590</v>
      </c>
      <c r="C372" s="1" t="n">
        <v>46194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9108-2025</t>
        </is>
      </c>
      <c r="B373" s="1" t="n">
        <v>45713</v>
      </c>
      <c r="C373" s="1" t="n">
        <v>46194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62553-2025</t>
        </is>
      </c>
      <c r="B374" s="1" t="n">
        <v>46007</v>
      </c>
      <c r="C374" s="1" t="n">
        <v>46194</v>
      </c>
      <c r="D374" t="inlineStr">
        <is>
          <t>HALLANDS LÄN</t>
        </is>
      </c>
      <c r="E374" t="inlineStr">
        <is>
          <t>VARBERG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36812-2025</t>
        </is>
      </c>
      <c r="B375" s="1" t="n">
        <v>45873</v>
      </c>
      <c r="C375" s="1" t="n">
        <v>46194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62353-2025</t>
        </is>
      </c>
      <c r="B376" s="1" t="n">
        <v>46007</v>
      </c>
      <c r="C376" s="1" t="n">
        <v>46194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62354-2025</t>
        </is>
      </c>
      <c r="B377" s="1" t="n">
        <v>46007</v>
      </c>
      <c r="C377" s="1" t="n">
        <v>46194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62608-2025</t>
        </is>
      </c>
      <c r="B378" s="1" t="n">
        <v>46008</v>
      </c>
      <c r="C378" s="1" t="n">
        <v>46194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39464-2022</t>
        </is>
      </c>
      <c r="B379" s="1" t="n">
        <v>44818</v>
      </c>
      <c r="C379" s="1" t="n">
        <v>46194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42566-2022</t>
        </is>
      </c>
      <c r="B380" s="1" t="n">
        <v>44831</v>
      </c>
      <c r="C380" s="1" t="n">
        <v>46194</v>
      </c>
      <c r="D380" t="inlineStr">
        <is>
          <t>HALLANDS LÄN</t>
        </is>
      </c>
      <c r="E380" t="inlineStr">
        <is>
          <t>VARBERG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46194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11524-2025</t>
        </is>
      </c>
      <c r="B382" s="1" t="n">
        <v>45727</v>
      </c>
      <c r="C382" s="1" t="n">
        <v>46194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46194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63271-2025</t>
        </is>
      </c>
      <c r="B384" s="1" t="n">
        <v>46010</v>
      </c>
      <c r="C384" s="1" t="n">
        <v>46194</v>
      </c>
      <c r="D384" t="inlineStr">
        <is>
          <t>HALLANDS LÄN</t>
        </is>
      </c>
      <c r="E384" t="inlineStr">
        <is>
          <t>VARBERG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2029-2025</t>
        </is>
      </c>
      <c r="B385" s="1" t="n">
        <v>45672</v>
      </c>
      <c r="C385" s="1" t="n">
        <v>46194</v>
      </c>
      <c r="D385" t="inlineStr">
        <is>
          <t>HALLANDS LÄN</t>
        </is>
      </c>
      <c r="E385" t="inlineStr">
        <is>
          <t>VARBERG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37365-2025</t>
        </is>
      </c>
      <c r="B386" s="1" t="n">
        <v>45877</v>
      </c>
      <c r="C386" s="1" t="n">
        <v>46194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13782-2022</t>
        </is>
      </c>
      <c r="B387" s="1" t="n">
        <v>44649</v>
      </c>
      <c r="C387" s="1" t="n">
        <v>46194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62612-2025</t>
        </is>
      </c>
      <c r="B388" s="1" t="n">
        <v>46008</v>
      </c>
      <c r="C388" s="1" t="n">
        <v>46194</v>
      </c>
      <c r="D388" t="inlineStr">
        <is>
          <t>HALLANDS LÄN</t>
        </is>
      </c>
      <c r="E388" t="inlineStr">
        <is>
          <t>VARBERG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10575-2024</t>
        </is>
      </c>
      <c r="B389" s="1" t="n">
        <v>45366</v>
      </c>
      <c r="C389" s="1" t="n">
        <v>46194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37875-2025</t>
        </is>
      </c>
      <c r="B390" s="1" t="n">
        <v>45881</v>
      </c>
      <c r="C390" s="1" t="n">
        <v>46194</v>
      </c>
      <c r="D390" t="inlineStr">
        <is>
          <t>HALLANDS LÄN</t>
        </is>
      </c>
      <c r="E390" t="inlineStr">
        <is>
          <t>VARBERG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63634-2025</t>
        </is>
      </c>
      <c r="B391" s="1" t="n">
        <v>46014</v>
      </c>
      <c r="C391" s="1" t="n">
        <v>46194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63638-2025</t>
        </is>
      </c>
      <c r="B392" s="1" t="n">
        <v>46014</v>
      </c>
      <c r="C392" s="1" t="n">
        <v>46194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59432-2024</t>
        </is>
      </c>
      <c r="B393" s="1" t="n">
        <v>45638</v>
      </c>
      <c r="C393" s="1" t="n">
        <v>46194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63632-2025</t>
        </is>
      </c>
      <c r="B394" s="1" t="n">
        <v>46014</v>
      </c>
      <c r="C394" s="1" t="n">
        <v>46194</v>
      </c>
      <c r="D394" t="inlineStr">
        <is>
          <t>HALLANDS LÄN</t>
        </is>
      </c>
      <c r="E394" t="inlineStr">
        <is>
          <t>VARBERG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19893-2025</t>
        </is>
      </c>
      <c r="B395" s="1" t="n">
        <v>45771</v>
      </c>
      <c r="C395" s="1" t="n">
        <v>46194</v>
      </c>
      <c r="D395" t="inlineStr">
        <is>
          <t>HALLANDS LÄN</t>
        </is>
      </c>
      <c r="E395" t="inlineStr">
        <is>
          <t>VARBERG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</v>
      </c>
      <c r="C396" s="1" t="n">
        <v>46194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63637-2025</t>
        </is>
      </c>
      <c r="B397" s="1" t="n">
        <v>46014</v>
      </c>
      <c r="C397" s="1" t="n">
        <v>46194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43037-2023</t>
        </is>
      </c>
      <c r="B398" s="1" t="n">
        <v>45182</v>
      </c>
      <c r="C398" s="1" t="n">
        <v>46194</v>
      </c>
      <c r="D398" t="inlineStr">
        <is>
          <t>HALLANDS LÄN</t>
        </is>
      </c>
      <c r="E398" t="inlineStr">
        <is>
          <t>VARBERG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40-2026</t>
        </is>
      </c>
      <c r="B399" s="1" t="n">
        <v>46024</v>
      </c>
      <c r="C399" s="1" t="n">
        <v>46194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50341-2024</t>
        </is>
      </c>
      <c r="B400" s="1" t="n">
        <v>45600</v>
      </c>
      <c r="C400" s="1" t="n">
        <v>46194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50342-2024</t>
        </is>
      </c>
      <c r="B401" s="1" t="n">
        <v>45600</v>
      </c>
      <c r="C401" s="1" t="n">
        <v>46194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8189-2025</t>
        </is>
      </c>
      <c r="B402" s="1" t="n">
        <v>45708</v>
      </c>
      <c r="C402" s="1" t="n">
        <v>46194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34570-2023</t>
        </is>
      </c>
      <c r="B403" s="1" t="n">
        <v>45140</v>
      </c>
      <c r="C403" s="1" t="n">
        <v>46194</v>
      </c>
      <c r="D403" t="inlineStr">
        <is>
          <t>HALLANDS LÄN</t>
        </is>
      </c>
      <c r="E403" t="inlineStr">
        <is>
          <t>VARBERG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34571-2023</t>
        </is>
      </c>
      <c r="B404" s="1" t="n">
        <v>45140</v>
      </c>
      <c r="C404" s="1" t="n">
        <v>46194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21992-2022</t>
        </is>
      </c>
      <c r="B405" s="1" t="n">
        <v>44711</v>
      </c>
      <c r="C405" s="1" t="n">
        <v>46194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61075-2023</t>
        </is>
      </c>
      <c r="B406" s="1" t="n">
        <v>45261</v>
      </c>
      <c r="C406" s="1" t="n">
        <v>46194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13828-2022</t>
        </is>
      </c>
      <c r="B407" s="1" t="n">
        <v>44649</v>
      </c>
      <c r="C407" s="1" t="n">
        <v>46194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15844-2024</t>
        </is>
      </c>
      <c r="B408" s="1" t="n">
        <v>45404</v>
      </c>
      <c r="C408" s="1" t="n">
        <v>46194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41961-2023</t>
        </is>
      </c>
      <c r="B409" s="1" t="n">
        <v>45177</v>
      </c>
      <c r="C409" s="1" t="n">
        <v>46194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3316-2026</t>
        </is>
      </c>
      <c r="B410" s="1" t="n">
        <v>46041</v>
      </c>
      <c r="C410" s="1" t="n">
        <v>46194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31087-2021</t>
        </is>
      </c>
      <c r="B411" s="1" t="n">
        <v>44368</v>
      </c>
      <c r="C411" s="1" t="n">
        <v>46194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4544-2026</t>
        </is>
      </c>
      <c r="B412" s="1" t="n">
        <v>46047</v>
      </c>
      <c r="C412" s="1" t="n">
        <v>46194</v>
      </c>
      <c r="D412" t="inlineStr">
        <is>
          <t>HALLANDS LÄN</t>
        </is>
      </c>
      <c r="E412" t="inlineStr">
        <is>
          <t>VARBERG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3493-2024</t>
        </is>
      </c>
      <c r="B413" s="1" t="n">
        <v>45320</v>
      </c>
      <c r="C413" s="1" t="n">
        <v>46194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46194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4545-2026</t>
        </is>
      </c>
      <c r="B415" s="1" t="n">
        <v>46047</v>
      </c>
      <c r="C415" s="1" t="n">
        <v>46194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5967-2025</t>
        </is>
      </c>
      <c r="B416" s="1" t="n">
        <v>45695</v>
      </c>
      <c r="C416" s="1" t="n">
        <v>46194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15413-2024</t>
        </is>
      </c>
      <c r="B417" s="1" t="n">
        <v>45401</v>
      </c>
      <c r="C417" s="1" t="n">
        <v>46194</v>
      </c>
      <c r="D417" t="inlineStr">
        <is>
          <t>HALLANDS LÄN</t>
        </is>
      </c>
      <c r="E417" t="inlineStr">
        <is>
          <t>VARBERG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11523-2024</t>
        </is>
      </c>
      <c r="B418" s="1" t="n">
        <v>45372</v>
      </c>
      <c r="C418" s="1" t="n">
        <v>46194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37594-2023</t>
        </is>
      </c>
      <c r="B419" s="1" t="n">
        <v>45159</v>
      </c>
      <c r="C419" s="1" t="n">
        <v>46194</v>
      </c>
      <c r="D419" t="inlineStr">
        <is>
          <t>HALLANDS LÄN</t>
        </is>
      </c>
      <c r="E419" t="inlineStr">
        <is>
          <t>VARBERG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2997-2024</t>
        </is>
      </c>
      <c r="B420" s="1" t="n">
        <v>45315</v>
      </c>
      <c r="C420" s="1" t="n">
        <v>46194</v>
      </c>
      <c r="D420" t="inlineStr">
        <is>
          <t>HALLANDS LÄN</t>
        </is>
      </c>
      <c r="E420" t="inlineStr">
        <is>
          <t>VARBERG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64203-2023</t>
        </is>
      </c>
      <c r="B421" s="1" t="n">
        <v>45279</v>
      </c>
      <c r="C421" s="1" t="n">
        <v>46194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6308-2026</t>
        </is>
      </c>
      <c r="B422" s="1" t="n">
        <v>46055</v>
      </c>
      <c r="C422" s="1" t="n">
        <v>46194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6306-2026</t>
        </is>
      </c>
      <c r="B423" s="1" t="n">
        <v>46055</v>
      </c>
      <c r="C423" s="1" t="n">
        <v>46194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18256-2025</t>
        </is>
      </c>
      <c r="B424" s="1" t="n">
        <v>45762</v>
      </c>
      <c r="C424" s="1" t="n">
        <v>46194</v>
      </c>
      <c r="D424" t="inlineStr">
        <is>
          <t>HALLANDS LÄN</t>
        </is>
      </c>
      <c r="E424" t="inlineStr">
        <is>
          <t>VARBERG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4598-2024</t>
        </is>
      </c>
      <c r="B425" s="1" t="n">
        <v>45328</v>
      </c>
      <c r="C425" s="1" t="n">
        <v>46194</v>
      </c>
      <c r="D425" t="inlineStr">
        <is>
          <t>HALLANDS LÄN</t>
        </is>
      </c>
      <c r="E425" t="inlineStr">
        <is>
          <t>VARBERG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14756-2024</t>
        </is>
      </c>
      <c r="B426" s="1" t="n">
        <v>45397</v>
      </c>
      <c r="C426" s="1" t="n">
        <v>46194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32473-2024</t>
        </is>
      </c>
      <c r="B427" s="1" t="n">
        <v>45513</v>
      </c>
      <c r="C427" s="1" t="n">
        <v>46194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9925-2025</t>
        </is>
      </c>
      <c r="B428" s="1" t="n">
        <v>45717</v>
      </c>
      <c r="C428" s="1" t="n">
        <v>46194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17739-2025</t>
        </is>
      </c>
      <c r="B429" s="1" t="n">
        <v>45758</v>
      </c>
      <c r="C429" s="1" t="n">
        <v>46194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8380-2026</t>
        </is>
      </c>
      <c r="B430" s="1" t="n">
        <v>46064</v>
      </c>
      <c r="C430" s="1" t="n">
        <v>46194</v>
      </c>
      <c r="D430" t="inlineStr">
        <is>
          <t>HALLANDS LÄN</t>
        </is>
      </c>
      <c r="E430" t="inlineStr">
        <is>
          <t>VARBERG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2464-2024</t>
        </is>
      </c>
      <c r="B431" s="1" t="n">
        <v>45313</v>
      </c>
      <c r="C431" s="1" t="n">
        <v>46194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46771-2022</t>
        </is>
      </c>
      <c r="B432" s="1" t="n">
        <v>44851</v>
      </c>
      <c r="C432" s="1" t="n">
        <v>46194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62942-2023</t>
        </is>
      </c>
      <c r="B433" s="1" t="n">
        <v>45272</v>
      </c>
      <c r="C433" s="1" t="n">
        <v>46194</v>
      </c>
      <c r="D433" t="inlineStr">
        <is>
          <t>HALLANDS LÄN</t>
        </is>
      </c>
      <c r="E433" t="inlineStr">
        <is>
          <t>VARBERG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15426-2024</t>
        </is>
      </c>
      <c r="B434" s="1" t="n">
        <v>45401</v>
      </c>
      <c r="C434" s="1" t="n">
        <v>46194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60556-2023</t>
        </is>
      </c>
      <c r="B435" s="1" t="n">
        <v>45259</v>
      </c>
      <c r="C435" s="1" t="n">
        <v>46194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55505-2023</t>
        </is>
      </c>
      <c r="B436" s="1" t="n">
        <v>45238</v>
      </c>
      <c r="C436" s="1" t="n">
        <v>46194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59981-2024</t>
        </is>
      </c>
      <c r="B437" s="1" t="n">
        <v>45642</v>
      </c>
      <c r="C437" s="1" t="n">
        <v>46194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10466-2025</t>
        </is>
      </c>
      <c r="B438" s="1" t="n">
        <v>45720</v>
      </c>
      <c r="C438" s="1" t="n">
        <v>46194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33098-2021</t>
        </is>
      </c>
      <c r="B439" s="1" t="n">
        <v>44376</v>
      </c>
      <c r="C439" s="1" t="n">
        <v>46194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15260-2024</t>
        </is>
      </c>
      <c r="B440" s="1" t="n">
        <v>45400</v>
      </c>
      <c r="C440" s="1" t="n">
        <v>46194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10186-2022</t>
        </is>
      </c>
      <c r="B441" s="1" t="n">
        <v>44622</v>
      </c>
      <c r="C441" s="1" t="n">
        <v>46194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12845-2026</t>
        </is>
      </c>
      <c r="B442" s="1" t="n">
        <v>46092</v>
      </c>
      <c r="C442" s="1" t="n">
        <v>46194</v>
      </c>
      <c r="D442" t="inlineStr">
        <is>
          <t>HALLANDS LÄN</t>
        </is>
      </c>
      <c r="E442" t="inlineStr">
        <is>
          <t>VARBERG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9819-2022</t>
        </is>
      </c>
      <c r="B443" s="1" t="n">
        <v>44620</v>
      </c>
      <c r="C443" s="1" t="n">
        <v>46194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15067-2022</t>
        </is>
      </c>
      <c r="B444" s="1" t="n">
        <v>44657</v>
      </c>
      <c r="C444" s="1" t="n">
        <v>46194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57557-2022</t>
        </is>
      </c>
      <c r="B445" s="1" t="n">
        <v>44896</v>
      </c>
      <c r="C445" s="1" t="n">
        <v>46194</v>
      </c>
      <c r="D445" t="inlineStr">
        <is>
          <t>HALLANDS LÄN</t>
        </is>
      </c>
      <c r="E445" t="inlineStr">
        <is>
          <t>VARBERG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51535-2023</t>
        </is>
      </c>
      <c r="B446" s="1" t="n">
        <v>45222</v>
      </c>
      <c r="C446" s="1" t="n">
        <v>46194</v>
      </c>
      <c r="D446" t="inlineStr">
        <is>
          <t>HALLANDS LÄN</t>
        </is>
      </c>
      <c r="E446" t="inlineStr">
        <is>
          <t>VARBERG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13469-2026</t>
        </is>
      </c>
      <c r="B447" s="1" t="n">
        <v>46094</v>
      </c>
      <c r="C447" s="1" t="n">
        <v>46194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13429-2026</t>
        </is>
      </c>
      <c r="B448" s="1" t="n">
        <v>46094</v>
      </c>
      <c r="C448" s="1" t="n">
        <v>46194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54248-2021</t>
        </is>
      </c>
      <c r="B449" s="1" t="n">
        <v>44470</v>
      </c>
      <c r="C449" s="1" t="n">
        <v>46194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15013-2026</t>
        </is>
      </c>
      <c r="B450" s="1" t="n">
        <v>46104</v>
      </c>
      <c r="C450" s="1" t="n">
        <v>46194</v>
      </c>
      <c r="D450" t="inlineStr">
        <is>
          <t>HALLANDS LÄN</t>
        </is>
      </c>
      <c r="E450" t="inlineStr">
        <is>
          <t>VARBERG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15508-2026</t>
        </is>
      </c>
      <c r="B451" s="1" t="n">
        <v>46106</v>
      </c>
      <c r="C451" s="1" t="n">
        <v>46194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15416-2026</t>
        </is>
      </c>
      <c r="B452" s="1" t="n">
        <v>46106</v>
      </c>
      <c r="C452" s="1" t="n">
        <v>46194</v>
      </c>
      <c r="D452" t="inlineStr">
        <is>
          <t>HALLANDS LÄN</t>
        </is>
      </c>
      <c r="E452" t="inlineStr">
        <is>
          <t>VARBERG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15983-2026</t>
        </is>
      </c>
      <c r="B453" s="1" t="n">
        <v>46108</v>
      </c>
      <c r="C453" s="1" t="n">
        <v>46194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23167-2026</t>
        </is>
      </c>
      <c r="B454" s="1" t="n">
        <v>46161</v>
      </c>
      <c r="C454" s="1" t="n">
        <v>46194</v>
      </c>
      <c r="D454" t="inlineStr">
        <is>
          <t>HALLANDS LÄN</t>
        </is>
      </c>
      <c r="E454" t="inlineStr">
        <is>
          <t>VARBERG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23192-2026</t>
        </is>
      </c>
      <c r="B455" s="1" t="n">
        <v>46161</v>
      </c>
      <c r="C455" s="1" t="n">
        <v>46194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23165-2026</t>
        </is>
      </c>
      <c r="B456" s="1" t="n">
        <v>46161</v>
      </c>
      <c r="C456" s="1" t="n">
        <v>46194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17401-2026</t>
        </is>
      </c>
      <c r="B457" s="1" t="n">
        <v>46120</v>
      </c>
      <c r="C457" s="1" t="n">
        <v>46194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23640-2026</t>
        </is>
      </c>
      <c r="B458" s="1" t="n">
        <v>46164</v>
      </c>
      <c r="C458" s="1" t="n">
        <v>46194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23641-2026</t>
        </is>
      </c>
      <c r="B459" s="1" t="n">
        <v>46164</v>
      </c>
      <c r="C459" s="1" t="n">
        <v>46194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24041-2026</t>
        </is>
      </c>
      <c r="B460" s="1" t="n">
        <v>46168</v>
      </c>
      <c r="C460" s="1" t="n">
        <v>46194</v>
      </c>
      <c r="D460" t="inlineStr">
        <is>
          <t>HALLANDS LÄN</t>
        </is>
      </c>
      <c r="E460" t="inlineStr">
        <is>
          <t>VARBERG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19130-2026</t>
        </is>
      </c>
      <c r="B461" s="1" t="n">
        <v>46132</v>
      </c>
      <c r="C461" s="1" t="n">
        <v>46194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25025-2026</t>
        </is>
      </c>
      <c r="B462" s="1" t="n">
        <v>46174</v>
      </c>
      <c r="C462" s="1" t="n">
        <v>46194</v>
      </c>
      <c r="D462" t="inlineStr">
        <is>
          <t>HALLANDS LÄN</t>
        </is>
      </c>
      <c r="E462" t="inlineStr">
        <is>
          <t>VARBERG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24996-2026</t>
        </is>
      </c>
      <c r="B463" s="1" t="n">
        <v>46174</v>
      </c>
      <c r="C463" s="1" t="n">
        <v>46194</v>
      </c>
      <c r="D463" t="inlineStr">
        <is>
          <t>HALLANDS LÄN</t>
        </is>
      </c>
      <c r="E463" t="inlineStr">
        <is>
          <t>VARBERG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25253-2026</t>
        </is>
      </c>
      <c r="B464" s="1" t="n">
        <v>46175</v>
      </c>
      <c r="C464" s="1" t="n">
        <v>46194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25255-2026</t>
        </is>
      </c>
      <c r="B465" s="1" t="n">
        <v>46175</v>
      </c>
      <c r="C465" s="1" t="n">
        <v>46194</v>
      </c>
      <c r="D465" t="inlineStr">
        <is>
          <t>HALLANDS LÄN</t>
        </is>
      </c>
      <c r="E465" t="inlineStr">
        <is>
          <t>VARBERG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29890-2024</t>
        </is>
      </c>
      <c r="B466" s="1" t="n">
        <v>45487</v>
      </c>
      <c r="C466" s="1" t="n">
        <v>46194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42498-2025</t>
        </is>
      </c>
      <c r="B467" s="1" t="n">
        <v>45905</v>
      </c>
      <c r="C467" s="1" t="n">
        <v>46194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23391-2025</t>
        </is>
      </c>
      <c r="B468" s="1" t="n">
        <v>45791</v>
      </c>
      <c r="C468" s="1" t="n">
        <v>46194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</v>
      </c>
      <c r="C469" s="1" t="n">
        <v>46194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</v>
      </c>
      <c r="C470" s="1" t="n">
        <v>46194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28843-2023</t>
        </is>
      </c>
      <c r="B471" s="1" t="n">
        <v>45104</v>
      </c>
      <c r="C471" s="1" t="n">
        <v>46194</v>
      </c>
      <c r="D471" t="inlineStr">
        <is>
          <t>HALLANDS LÄN</t>
        </is>
      </c>
      <c r="E471" t="inlineStr">
        <is>
          <t>VARBERG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40062-2024</t>
        </is>
      </c>
      <c r="B472" s="1" t="n">
        <v>45554</v>
      </c>
      <c r="C472" s="1" t="n">
        <v>46194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55813-2024</t>
        </is>
      </c>
      <c r="B473" s="1" t="n">
        <v>45623</v>
      </c>
      <c r="C473" s="1" t="n">
        <v>46194</v>
      </c>
      <c r="D473" t="inlineStr">
        <is>
          <t>HALLANDS LÄN</t>
        </is>
      </c>
      <c r="E473" t="inlineStr">
        <is>
          <t>VARBERG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28489-2024</t>
        </is>
      </c>
      <c r="B474" s="1" t="n">
        <v>45477</v>
      </c>
      <c r="C474" s="1" t="n">
        <v>46194</v>
      </c>
      <c r="D474" t="inlineStr">
        <is>
          <t>HALLANDS LÄN</t>
        </is>
      </c>
      <c r="E474" t="inlineStr">
        <is>
          <t>VARBERG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2026-06-21T00:43:13Z</dcterms:created>
  <dcterms:modified xmlns:dcterms="http://purl.org/dc/terms/" xmlns:xsi="http://www.w3.org/2001/XMLSchema-instance" xsi:type="dcterms:W3CDTF">2026-06-21T00:43:14Z</dcterms:modified>
</cp:coreProperties>
</file>