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46222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46222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46222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Y4">
        <f>HYPERLINK("https://klasma.github.io/Logging_1383/klagomål/A 4779-2025 FSC-klagomål.docx", "A 4779-2025")</f>
        <v/>
      </c>
      <c r="Z4">
        <f>HYPERLINK("https://klasma.github.io/Logging_1383/klagomålsmail/A 4779-2025 FSC-klagomål mail.docx", "A 4779-2025")</f>
        <v/>
      </c>
      <c r="AA4">
        <f>HYPERLINK("https://klasma.github.io/Logging_1383/tillsyn/A 4779-2025 tillsynsbegäran.docx", "A 4779-2025")</f>
        <v/>
      </c>
      <c r="AB4">
        <f>HYPERLINK("https://klasma.github.io/Logging_1383/tillsynsmail/A 4779-2025 tillsynsbegäran mail.docx", "A 4779-2025")</f>
        <v/>
      </c>
      <c r="AC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46222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Y5">
        <f>HYPERLINK("https://klasma.github.io/Logging_1383/klagomål/A 27105-2026 FSC-klagomål.docx", "A 27105-2026")</f>
        <v/>
      </c>
      <c r="Z5">
        <f>HYPERLINK("https://klasma.github.io/Logging_1383/klagomålsmail/A 27105-2026 FSC-klagomål mail.docx", "A 27105-2026")</f>
        <v/>
      </c>
      <c r="AA5">
        <f>HYPERLINK("https://klasma.github.io/Logging_1383/tillsyn/A 27105-2026 tillsynsbegäran.docx", "A 27105-2026")</f>
        <v/>
      </c>
      <c r="AB5">
        <f>HYPERLINK("https://klasma.github.io/Logging_1383/tillsynsmail/A 27105-2026 tillsynsbegäran mail.docx", "A 27105-2026")</f>
        <v/>
      </c>
      <c r="AC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46222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Grönfink
Dvärgpipistrell
Havsörn
Trana</t>
        </is>
      </c>
      <c r="V6">
        <f>HYPERLINK("https://klasma.github.io/Logging_1383/artfynd/A 43356-2022 artfynd.xlsx", "A 43356-2022")</f>
        <v/>
      </c>
      <c r="W6">
        <f>HYPERLINK("https://klasma.github.io/Logging_1383/kartor/A 43356-2022 karta.png", "A 43356-2022")</f>
        <v/>
      </c>
      <c r="Y6">
        <f>HYPERLINK("https://klasma.github.io/Logging_1383/klagomål/A 43356-2022 FSC-klagomål.docx", "A 43356-2022")</f>
        <v/>
      </c>
      <c r="Z6">
        <f>HYPERLINK("https://klasma.github.io/Logging_1383/klagomålsmail/A 43356-2022 FSC-klagomål mail.docx", "A 43356-2022")</f>
        <v/>
      </c>
      <c r="AA6">
        <f>HYPERLINK("https://klasma.github.io/Logging_1383/tillsyn/A 43356-2022 tillsynsbegäran.docx", "A 43356-2022")</f>
        <v/>
      </c>
      <c r="AB6">
        <f>HYPERLINK("https://klasma.github.io/Logging_1383/tillsynsmail/A 43356-2022 tillsynsbegäran mail.docx", "A 43356-2022")</f>
        <v/>
      </c>
      <c r="AC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46222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s="2" t="inlineStr">
        <is>
          <t>Nordfladdermus
Dvärgpipistrell
Havsörn
Trana</t>
        </is>
      </c>
      <c r="V7">
        <f>HYPERLINK("https://klasma.github.io/Logging_1383/artfynd/A 43362-2022 artfynd.xlsx", "A 43362-2022")</f>
        <v/>
      </c>
      <c r="W7">
        <f>HYPERLINK("https://klasma.github.io/Logging_1383/kartor/A 43362-2022 karta.png", "A 43362-2022")</f>
        <v/>
      </c>
      <c r="Y7">
        <f>HYPERLINK("https://klasma.github.io/Logging_1383/klagomål/A 43362-2022 FSC-klagomål.docx", "A 43362-2022")</f>
        <v/>
      </c>
      <c r="Z7">
        <f>HYPERLINK("https://klasma.github.io/Logging_1383/klagomålsmail/A 43362-2022 FSC-klagomål mail.docx", "A 43362-2022")</f>
        <v/>
      </c>
      <c r="AA7">
        <f>HYPERLINK("https://klasma.github.io/Logging_1383/tillsyn/A 43362-2022 tillsynsbegäran.docx", "A 43362-2022")</f>
        <v/>
      </c>
      <c r="AB7">
        <f>HYPERLINK("https://klasma.github.io/Logging_1383/tillsynsmail/A 43362-2022 tillsynsbegäran mail.docx", "A 43362-2022")</f>
        <v/>
      </c>
      <c r="AC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Y11">
        <f>HYPERLINK("https://klasma.github.io/Logging_1383/klagomål/A 27474-2023 FSC-klagomål.docx", "A 27474-2023")</f>
        <v/>
      </c>
      <c r="Z11">
        <f>HYPERLINK("https://klasma.github.io/Logging_1383/klagomålsmail/A 27474-2023 FSC-klagomål mail.docx", "A 27474-2023")</f>
        <v/>
      </c>
      <c r="AA11">
        <f>HYPERLINK("https://klasma.github.io/Logging_1383/tillsyn/A 27474-2023 tillsynsbegäran.docx", "A 27474-2023")</f>
        <v/>
      </c>
      <c r="AB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46222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Stor revmossa
Spillkråka</t>
        </is>
      </c>
      <c r="V12">
        <f>HYPERLINK("https://klasma.github.io/Logging_1383/artfynd/A 13093-2025 artfynd.xlsx", "A 13093-2025")</f>
        <v/>
      </c>
      <c r="W12">
        <f>HYPERLINK("https://klasma.github.io/Logging_1383/kartor/A 13093-2025 karta.png", "A 13093-2025")</f>
        <v/>
      </c>
      <c r="Y12">
        <f>HYPERLINK("https://klasma.github.io/Logging_1383/klagomål/A 13093-2025 FSC-klagomål.docx", "A 13093-2025")</f>
        <v/>
      </c>
      <c r="Z12">
        <f>HYPERLINK("https://klasma.github.io/Logging_1383/klagomålsmail/A 13093-2025 FSC-klagomål mail.docx", "A 13093-2025")</f>
        <v/>
      </c>
      <c r="AA12">
        <f>HYPERLINK("https://klasma.github.io/Logging_1383/tillsyn/A 13093-2025 tillsynsbegäran.docx", "A 13093-2025")</f>
        <v/>
      </c>
      <c r="AB12">
        <f>HYPERLINK("https://klasma.github.io/Logging_1383/tillsynsmail/A 13093-2025 tillsynsbegäran mail.docx", "A 13093-2025")</f>
        <v/>
      </c>
      <c r="AC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46222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Slätbjörnbär
Hasselmus</t>
        </is>
      </c>
      <c r="V13">
        <f>HYPERLINK("https://klasma.github.io/Logging_1383/artfynd/A 31950-2024 artfynd.xlsx", "A 31950-2024")</f>
        <v/>
      </c>
      <c r="W13">
        <f>HYPERLINK("https://klasma.github.io/Logging_1383/kartor/A 31950-2024 karta.png", "A 31950-2024")</f>
        <v/>
      </c>
      <c r="Y13">
        <f>HYPERLINK("https://klasma.github.io/Logging_1383/klagomål/A 31950-2024 FSC-klagomål.docx", "A 31950-2024")</f>
        <v/>
      </c>
      <c r="Z13">
        <f>HYPERLINK("https://klasma.github.io/Logging_1383/klagomålsmail/A 31950-2024 FSC-klagomål mail.docx", "A 31950-2024")</f>
        <v/>
      </c>
      <c r="AA13">
        <f>HYPERLINK("https://klasma.github.io/Logging_1383/tillsyn/A 31950-2024 tillsynsbegäran.docx", "A 31950-2024")</f>
        <v/>
      </c>
      <c r="AB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46222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46222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46222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s="2" t="inlineStr">
        <is>
          <t>Dvärgjohannesört</t>
        </is>
      </c>
      <c r="V16">
        <f>HYPERLINK("https://klasma.github.io/Logging_1383/artfynd/A 7038-2024 artfynd.xlsx", "A 7038-2024")</f>
        <v/>
      </c>
      <c r="W16">
        <f>HYPERLINK("https://klasma.github.io/Logging_1383/kartor/A 7038-2024 karta.png", "A 7038-2024")</f>
        <v/>
      </c>
      <c r="Y16">
        <f>HYPERLINK("https://klasma.github.io/Logging_1383/klagomål/A 7038-2024 FSC-klagomål.docx", "A 7038-2024")</f>
        <v/>
      </c>
      <c r="Z16">
        <f>HYPERLINK("https://klasma.github.io/Logging_1383/klagomålsmail/A 7038-2024 FSC-klagomål mail.docx", "A 7038-2024")</f>
        <v/>
      </c>
      <c r="AA16">
        <f>HYPERLINK("https://klasma.github.io/Logging_1383/tillsyn/A 7038-2024 tillsynsbegäran.docx", "A 7038-2024")</f>
        <v/>
      </c>
      <c r="AB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46222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HYPERLINK("https://klasma.github.io/Logging_1383/artfynd/A 49083-2022 artfynd.xlsx", "A 49083-2022")</f>
        <v/>
      </c>
      <c r="W17">
        <f>HYPERLINK("https://klasma.github.io/Logging_1383/kartor/A 49083-2022 karta.png", "A 49083-2022")</f>
        <v/>
      </c>
      <c r="Y17">
        <f>HYPERLINK("https://klasma.github.io/Logging_1383/klagomål/A 49083-2022 FSC-klagomål.docx", "A 49083-2022")</f>
        <v/>
      </c>
      <c r="Z17">
        <f>HYPERLINK("https://klasma.github.io/Logging_1383/klagomålsmail/A 49083-2022 FSC-klagomål mail.docx", "A 49083-2022")</f>
        <v/>
      </c>
      <c r="AA17">
        <f>HYPERLINK("https://klasma.github.io/Logging_1383/tillsyn/A 49083-2022 tillsynsbegäran.docx", "A 49083-2022")</f>
        <v/>
      </c>
      <c r="AB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46222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Flytsvalting</t>
        </is>
      </c>
      <c r="V18">
        <f>HYPERLINK("https://klasma.github.io/Logging_1383/artfynd/A 8906-2025 artfynd.xlsx", "A 8906-2025")</f>
        <v/>
      </c>
      <c r="W18">
        <f>HYPERLINK("https://klasma.github.io/Logging_1383/kartor/A 8906-2025 karta.png", "A 8906-2025")</f>
        <v/>
      </c>
      <c r="Y18">
        <f>HYPERLINK("https://klasma.github.io/Logging_1383/klagomål/A 8906-2025 FSC-klagomål.docx", "A 8906-2025")</f>
        <v/>
      </c>
      <c r="Z18">
        <f>HYPERLINK("https://klasma.github.io/Logging_1383/klagomålsmail/A 8906-2025 FSC-klagomål mail.docx", "A 8906-2025")</f>
        <v/>
      </c>
      <c r="AA18">
        <f>HYPERLINK("https://klasma.github.io/Logging_1383/tillsyn/A 8906-2025 tillsynsbegäran.docx", "A 8906-2025")</f>
        <v/>
      </c>
      <c r="AB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46222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s="2" t="inlineStr">
        <is>
          <t>Hasselmus</t>
        </is>
      </c>
      <c r="V19">
        <f>HYPERLINK("https://klasma.github.io/Logging_1383/artfynd/A 42724-2025 artfynd.xlsx", "A 42724-2025")</f>
        <v/>
      </c>
      <c r="W19">
        <f>HYPERLINK("https://klasma.github.io/Logging_1383/kartor/A 42724-2025 karta.png", "A 42724-2025")</f>
        <v/>
      </c>
      <c r="Y19">
        <f>HYPERLINK("https://klasma.github.io/Logging_1383/klagomål/A 42724-2025 FSC-klagomål.docx", "A 42724-2025")</f>
        <v/>
      </c>
      <c r="Z19">
        <f>HYPERLINK("https://klasma.github.io/Logging_1383/klagomålsmail/A 42724-2025 FSC-klagomål mail.docx", "A 42724-2025")</f>
        <v/>
      </c>
      <c r="AA19">
        <f>HYPERLINK("https://klasma.github.io/Logging_1383/tillsyn/A 42724-2025 tillsynsbegäran.docx", "A 42724-2025")</f>
        <v/>
      </c>
      <c r="AB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46222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Brun glada</t>
        </is>
      </c>
      <c r="V20">
        <f>HYPERLINK("https://klasma.github.io/Logging_1383/artfynd/A 42573-2022 artfynd.xlsx", "A 42573-2022")</f>
        <v/>
      </c>
      <c r="W20">
        <f>HYPERLINK("https://klasma.github.io/Logging_1383/kartor/A 42573-2022 karta.png", "A 42573-2022")</f>
        <v/>
      </c>
      <c r="Y20">
        <f>HYPERLINK("https://klasma.github.io/Logging_1383/klagomål/A 42573-2022 FSC-klagomål.docx", "A 42573-2022")</f>
        <v/>
      </c>
      <c r="Z20">
        <f>HYPERLINK("https://klasma.github.io/Logging_1383/klagomålsmail/A 42573-2022 FSC-klagomål mail.docx", "A 42573-2022")</f>
        <v/>
      </c>
      <c r="AA20">
        <f>HYPERLINK("https://klasma.github.io/Logging_1383/tillsyn/A 42573-2022 tillsynsbegäran.docx", "A 42573-2022")</f>
        <v/>
      </c>
      <c r="AB20">
        <f>HYPERLINK("https://klasma.github.io/Logging_1383/tillsynsmail/A 42573-2022 tillsynsbegäran mail.docx", "A 42573-2022")</f>
        <v/>
      </c>
      <c r="AC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46222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HYPERLINK("https://klasma.github.io/Logging_1383/artfynd/A 46737-2023 artfynd.xlsx", "A 46737-2023")</f>
        <v/>
      </c>
      <c r="W21">
        <f>HYPERLINK("https://klasma.github.io/Logging_1383/kartor/A 46737-2023 karta.png", "A 46737-2023")</f>
        <v/>
      </c>
      <c r="Y21">
        <f>HYPERLINK("https://klasma.github.io/Logging_1383/klagomål/A 46737-2023 FSC-klagomål.docx", "A 46737-2023")</f>
        <v/>
      </c>
      <c r="Z21">
        <f>HYPERLINK("https://klasma.github.io/Logging_1383/klagomålsmail/A 46737-2023 FSC-klagomål mail.docx", "A 46737-2023")</f>
        <v/>
      </c>
      <c r="AA21">
        <f>HYPERLINK("https://klasma.github.io/Logging_1383/tillsyn/A 46737-2023 tillsynsbegäran.docx", "A 46737-2023")</f>
        <v/>
      </c>
      <c r="AB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46222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Grönvit nattviol</t>
        </is>
      </c>
      <c r="V22">
        <f>HYPERLINK("https://klasma.github.io/Logging_1383/artfynd/A 15066-2022 artfynd.xlsx", "A 15066-2022")</f>
        <v/>
      </c>
      <c r="W22">
        <f>HYPERLINK("https://klasma.github.io/Logging_1383/kartor/A 15066-2022 karta.png", "A 15066-2022")</f>
        <v/>
      </c>
      <c r="Y22">
        <f>HYPERLINK("https://klasma.github.io/Logging_1383/klagomål/A 15066-2022 FSC-klagomål.docx", "A 15066-2022")</f>
        <v/>
      </c>
      <c r="Z22">
        <f>HYPERLINK("https://klasma.github.io/Logging_1383/klagomålsmail/A 15066-2022 FSC-klagomål mail.docx", "A 15066-2022")</f>
        <v/>
      </c>
      <c r="AA22">
        <f>HYPERLINK("https://klasma.github.io/Logging_1383/tillsyn/A 15066-2022 tillsynsbegäran.docx", "A 15066-2022")</f>
        <v/>
      </c>
      <c r="AB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46222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Jättesvampmal</t>
        </is>
      </c>
      <c r="V23">
        <f>HYPERLINK("https://klasma.github.io/Logging_1383/artfynd/A 8254-2024 artfynd.xlsx", "A 8254-2024")</f>
        <v/>
      </c>
      <c r="W23">
        <f>HYPERLINK("https://klasma.github.io/Logging_1383/kartor/A 8254-2024 karta.png", "A 8254-2024")</f>
        <v/>
      </c>
      <c r="Y23">
        <f>HYPERLINK("https://klasma.github.io/Logging_1383/klagomål/A 8254-2024 FSC-klagomål.docx", "A 8254-2024")</f>
        <v/>
      </c>
      <c r="Z23">
        <f>HYPERLINK("https://klasma.github.io/Logging_1383/klagomålsmail/A 8254-2024 FSC-klagomål mail.docx", "A 8254-2024")</f>
        <v/>
      </c>
      <c r="AA23">
        <f>HYPERLINK("https://klasma.github.io/Logging_1383/tillsyn/A 8254-2024 tillsynsbegäran.docx", "A 8254-2024")</f>
        <v/>
      </c>
      <c r="AB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46222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Åkersyska</t>
        </is>
      </c>
      <c r="V24">
        <f>HYPERLINK("https://klasma.github.io/Logging_1383/artfynd/A 61966-2022 artfynd.xlsx", "A 61966-2022")</f>
        <v/>
      </c>
      <c r="W24">
        <f>HYPERLINK("https://klasma.github.io/Logging_1383/kartor/A 61966-2022 karta.png", "A 61966-2022")</f>
        <v/>
      </c>
      <c r="Y24">
        <f>HYPERLINK("https://klasma.github.io/Logging_1383/klagomål/A 61966-2022 FSC-klagomål.docx", "A 61966-2022")</f>
        <v/>
      </c>
      <c r="Z24">
        <f>HYPERLINK("https://klasma.github.io/Logging_1383/klagomålsmail/A 61966-2022 FSC-klagomål mail.docx", "A 61966-2022")</f>
        <v/>
      </c>
      <c r="AA24">
        <f>HYPERLINK("https://klasma.github.io/Logging_1383/tillsyn/A 61966-2022 tillsynsbegäran.docx", "A 61966-2022")</f>
        <v/>
      </c>
      <c r="AB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46222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HYPERLINK("https://klasma.github.io/Logging_1383/artfynd/A 34833-2023 artfynd.xlsx", "A 34833-2023")</f>
        <v/>
      </c>
      <c r="W25">
        <f>HYPERLINK("https://klasma.github.io/Logging_1383/kartor/A 34833-2023 karta.png", "A 34833-2023")</f>
        <v/>
      </c>
      <c r="Y25">
        <f>HYPERLINK("https://klasma.github.io/Logging_1383/klagomål/A 34833-2023 FSC-klagomål.docx", "A 34833-2023")</f>
        <v/>
      </c>
      <c r="Z25">
        <f>HYPERLINK("https://klasma.github.io/Logging_1383/klagomålsmail/A 34833-2023 FSC-klagomål mail.docx", "A 34833-2023")</f>
        <v/>
      </c>
      <c r="AA25">
        <f>HYPERLINK("https://klasma.github.io/Logging_1383/tillsyn/A 34833-2023 tillsynsbegäran.docx", "A 34833-2023")</f>
        <v/>
      </c>
      <c r="AB25">
        <f>HYPERLINK("https://klasma.github.io/Logging_1383/tillsynsmail/A 34833-2023 tillsynsbegäran mail.docx", "A 34833-2023")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46222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HYPERLINK("https://klasma.github.io/Logging_1383/artfynd/A 33144-2025 artfynd.xlsx", "A 33144-2025")</f>
        <v/>
      </c>
      <c r="W26">
        <f>HYPERLINK("https://klasma.github.io/Logging_1383/kartor/A 33144-2025 karta.png", "A 33144-2025")</f>
        <v/>
      </c>
      <c r="Y26">
        <f>HYPERLINK("https://klasma.github.io/Logging_1383/klagomål/A 33144-2025 FSC-klagomål.docx", "A 33144-2025")</f>
        <v/>
      </c>
      <c r="Z26">
        <f>HYPERLINK("https://klasma.github.io/Logging_1383/klagomålsmail/A 33144-2025 FSC-klagomål mail.docx", "A 33144-2025")</f>
        <v/>
      </c>
      <c r="AA26">
        <f>HYPERLINK("https://klasma.github.io/Logging_1383/tillsyn/A 33144-2025 tillsynsbegäran.docx", "A 33144-2025")</f>
        <v/>
      </c>
      <c r="AB26">
        <f>HYPERLINK("https://klasma.github.io/Logging_1383/tillsynsmail/A 33144-2025 tillsynsbegäran mail.docx", "A 33144-2025")</f>
        <v/>
      </c>
      <c r="AC26">
        <f>HYPERLINK("https://klasma.github.io/Logging_1383/fåglar/A 33144-2025 prioriterade fågelarter.docx", "A 33144-2025")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46222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HYPERLINK("https://klasma.github.io/Logging_1383/artfynd/A 42723-2023 artfynd.xlsx", "A 42723-2023")</f>
        <v/>
      </c>
      <c r="W27">
        <f>HYPERLINK("https://klasma.github.io/Logging_1383/kartor/A 42723-2023 karta.png", "A 42723-2023")</f>
        <v/>
      </c>
      <c r="Y27">
        <f>HYPERLINK("https://klasma.github.io/Logging_1383/klagomål/A 42723-2023 FSC-klagomål.docx", "A 42723-2023")</f>
        <v/>
      </c>
      <c r="Z27">
        <f>HYPERLINK("https://klasma.github.io/Logging_1383/klagomålsmail/A 42723-2023 FSC-klagomål mail.docx", "A 42723-2023")</f>
        <v/>
      </c>
      <c r="AA27">
        <f>HYPERLINK("https://klasma.github.io/Logging_1383/tillsyn/A 42723-2023 tillsynsbegäran.docx", "A 42723-2023")</f>
        <v/>
      </c>
      <c r="AB27">
        <f>HYPERLINK("https://klasma.github.io/Logging_1383/tillsynsmail/A 42723-2023 tillsynsbegäran mail.docx", "A 42723-2023")</f>
        <v/>
      </c>
    </row>
    <row r="28" ht="15" customHeight="1">
      <c r="A28" t="inlineStr">
        <is>
          <t>A 10751-2025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46222</v>
      </c>
      <c r="F28" t="inlineStr">
        <is>
          <t>HALLANDS LÄN</t>
        </is>
      </c>
      <c r="G28" t="inlineStr">
        <is>
          <t>VARBERG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HYPERLINK("https://klasma.github.io/Logging_1383/artfynd/A 10751-2025 artfynd.xlsx", "A 10751-2025")</f>
        <v/>
      </c>
      <c r="W28">
        <f>HYPERLINK("https://klasma.github.io/Logging_1383/kartor/A 10751-2025 karta.png", "A 10751-2025")</f>
        <v/>
      </c>
      <c r="Y28">
        <f>HYPERLINK("https://klasma.github.io/Logging_1383/klagomål/A 10751-2025 FSC-klagomål.docx", "A 10751-2025")</f>
        <v/>
      </c>
      <c r="Z28">
        <f>HYPERLINK("https://klasma.github.io/Logging_1383/klagomålsmail/A 10751-2025 FSC-klagomål mail.docx", "A 10751-2025")</f>
        <v/>
      </c>
      <c r="AA28">
        <f>HYPERLINK("https://klasma.github.io/Logging_1383/tillsyn/A 10751-2025 tillsynsbegäran.docx", "A 10751-2025")</f>
        <v/>
      </c>
      <c r="AB28">
        <f>HYPERLINK("https://klasma.github.io/Logging_1383/tillsynsmail/A 10751-2025 tillsynsbegäran mail.docx", "A 10751-2025")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46222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Skogsödla</t>
        </is>
      </c>
      <c r="V29">
        <f>HYPERLINK("https://klasma.github.io/Logging_1383/artfynd/A 27103-2026 artfynd.xlsx", "A 27103-2026")</f>
        <v/>
      </c>
      <c r="W29">
        <f>HYPERLINK("https://klasma.github.io/Logging_1383/kartor/A 27103-2026 karta.png", "A 27103-2026")</f>
        <v/>
      </c>
      <c r="Y29">
        <f>HYPERLINK("https://klasma.github.io/Logging_1383/klagomål/A 27103-2026 FSC-klagomål.docx", "A 27103-2026")</f>
        <v/>
      </c>
      <c r="Z29">
        <f>HYPERLINK("https://klasma.github.io/Logging_1383/klagomålsmail/A 27103-2026 FSC-klagomål mail.docx", "A 27103-2026")</f>
        <v/>
      </c>
      <c r="AA29">
        <f>HYPERLINK("https://klasma.github.io/Logging_1383/tillsyn/A 27103-2026 tillsynsbegäran.docx", "A 27103-2026")</f>
        <v/>
      </c>
      <c r="AB29">
        <f>HYPERLINK("https://klasma.github.io/Logging_1383/tillsynsmail/A 27103-2026 tillsynsbegäran mail.docx", "A 27103-2026")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46222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Mindre vattensalamander</t>
        </is>
      </c>
      <c r="V30">
        <f>HYPERLINK("https://klasma.github.io/Logging_1383/artfynd/A 38226-2022 artfynd.xlsx", "A 38226-2022")</f>
        <v/>
      </c>
      <c r="W30">
        <f>HYPERLINK("https://klasma.github.io/Logging_1383/kartor/A 38226-2022 karta.png", "A 38226-2022")</f>
        <v/>
      </c>
      <c r="Y30">
        <f>HYPERLINK("https://klasma.github.io/Logging_1383/klagomål/A 38226-2022 FSC-klagomål.docx", "A 38226-2022")</f>
        <v/>
      </c>
      <c r="Z30">
        <f>HYPERLINK("https://klasma.github.io/Logging_1383/klagomålsmail/A 38226-2022 FSC-klagomål mail.docx", "A 38226-2022")</f>
        <v/>
      </c>
      <c r="AA30">
        <f>HYPERLINK("https://klasma.github.io/Logging_1383/tillsyn/A 38226-2022 tillsynsbegäran.docx", "A 38226-2022")</f>
        <v/>
      </c>
      <c r="AB30">
        <f>HYPERLINK("https://klasma.github.io/Logging_1383/tillsynsmail/A 38226-2022 tillsynsbegäran mail.docx", "A 38226-2022")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46222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Sotvaxskivling</t>
        </is>
      </c>
      <c r="V31">
        <f>HYPERLINK("https://klasma.github.io/Logging_1383/artfynd/A 15095-2025 artfynd.xlsx", "A 15095-2025")</f>
        <v/>
      </c>
      <c r="W31">
        <f>HYPERLINK("https://klasma.github.io/Logging_1383/kartor/A 15095-2025 karta.png", "A 15095-2025")</f>
        <v/>
      </c>
      <c r="Y31">
        <f>HYPERLINK("https://klasma.github.io/Logging_1383/klagomål/A 15095-2025 FSC-klagomål.docx", "A 15095-2025")</f>
        <v/>
      </c>
      <c r="Z31">
        <f>HYPERLINK("https://klasma.github.io/Logging_1383/klagomålsmail/A 15095-2025 FSC-klagomål mail.docx", "A 15095-2025")</f>
        <v/>
      </c>
      <c r="AA31">
        <f>HYPERLINK("https://klasma.github.io/Logging_1383/tillsyn/A 15095-2025 tillsynsbegäran.docx", "A 15095-2025")</f>
        <v/>
      </c>
      <c r="AB31">
        <f>HYPERLINK("https://klasma.github.io/Logging_1383/tillsynsmail/A 15095-2025 tillsynsbegäran mail.docx", "A 15095-2025")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46222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Hasselmus</t>
        </is>
      </c>
      <c r="V32">
        <f>HYPERLINK("https://klasma.github.io/Logging_1383/artfynd/A 58679-2023 artfynd.xlsx", "A 58679-2023")</f>
        <v/>
      </c>
      <c r="W32">
        <f>HYPERLINK("https://klasma.github.io/Logging_1383/kartor/A 58679-2023 karta.png", "A 58679-2023")</f>
        <v/>
      </c>
      <c r="Y32">
        <f>HYPERLINK("https://klasma.github.io/Logging_1383/klagomål/A 58679-2023 FSC-klagomål.docx", "A 58679-2023")</f>
        <v/>
      </c>
      <c r="Z32">
        <f>HYPERLINK("https://klasma.github.io/Logging_1383/klagomålsmail/A 58679-2023 FSC-klagomål mail.docx", "A 58679-2023")</f>
        <v/>
      </c>
      <c r="AA32">
        <f>HYPERLINK("https://klasma.github.io/Logging_1383/tillsyn/A 58679-2023 tillsynsbegäran.docx", "A 58679-2023")</f>
        <v/>
      </c>
      <c r="AB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46222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Entita</t>
        </is>
      </c>
      <c r="V33">
        <f>HYPERLINK("https://klasma.github.io/Logging_1383/artfynd/A 53915-2021 artfynd.xlsx", "A 53915-2021")</f>
        <v/>
      </c>
      <c r="W33">
        <f>HYPERLINK("https://klasma.github.io/Logging_1383/kartor/A 53915-2021 karta.png", "A 53915-2021")</f>
        <v/>
      </c>
      <c r="Y33">
        <f>HYPERLINK("https://klasma.github.io/Logging_1383/klagomål/A 53915-2021 FSC-klagomål.docx", "A 53915-2021")</f>
        <v/>
      </c>
      <c r="Z33">
        <f>HYPERLINK("https://klasma.github.io/Logging_1383/klagomålsmail/A 53915-2021 FSC-klagomål mail.docx", "A 53915-2021")</f>
        <v/>
      </c>
      <c r="AA33">
        <f>HYPERLINK("https://klasma.github.io/Logging_1383/tillsyn/A 53915-2021 tillsynsbegäran.docx", "A 53915-2021")</f>
        <v/>
      </c>
      <c r="AB33">
        <f>HYPERLINK("https://klasma.github.io/Logging_1383/tillsynsmail/A 53915-2021 tillsynsbegäran mail.docx", "A 53915-2021")</f>
        <v/>
      </c>
      <c r="AC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46222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Bivråk</t>
        </is>
      </c>
      <c r="V34">
        <f>HYPERLINK("https://klasma.github.io/Logging_1383/artfynd/A 3481-2025 artfynd.xlsx", "A 3481-2025")</f>
        <v/>
      </c>
      <c r="W34">
        <f>HYPERLINK("https://klasma.github.io/Logging_1383/kartor/A 3481-2025 karta.png", "A 3481-2025")</f>
        <v/>
      </c>
      <c r="Y34">
        <f>HYPERLINK("https://klasma.github.io/Logging_1383/klagomål/A 3481-2025 FSC-klagomål.docx", "A 3481-2025")</f>
        <v/>
      </c>
      <c r="Z34">
        <f>HYPERLINK("https://klasma.github.io/Logging_1383/klagomålsmail/A 3481-2025 FSC-klagomål mail.docx", "A 3481-2025")</f>
        <v/>
      </c>
      <c r="AA34">
        <f>HYPERLINK("https://klasma.github.io/Logging_1383/tillsyn/A 3481-2025 tillsynsbegäran.docx", "A 3481-2025")</f>
        <v/>
      </c>
      <c r="AB34">
        <f>HYPERLINK("https://klasma.github.io/Logging_1383/tillsynsmail/A 3481-2025 tillsynsbegäran mail.docx", "A 3481-2025")</f>
        <v/>
      </c>
      <c r="AC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46222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Skogsödla</t>
        </is>
      </c>
      <c r="V35">
        <f>HYPERLINK("https://klasma.github.io/Logging_1383/artfynd/A 25055-2026 artfynd.xlsx", "A 25055-2026")</f>
        <v/>
      </c>
      <c r="W35">
        <f>HYPERLINK("https://klasma.github.io/Logging_1383/kartor/A 25055-2026 karta.png", "A 25055-2026")</f>
        <v/>
      </c>
      <c r="Y35">
        <f>HYPERLINK("https://klasma.github.io/Logging_1383/klagomål/A 25055-2026 FSC-klagomål.docx", "A 25055-2026")</f>
        <v/>
      </c>
      <c r="Z35">
        <f>HYPERLINK("https://klasma.github.io/Logging_1383/klagomålsmail/A 25055-2026 FSC-klagomål mail.docx", "A 25055-2026")</f>
        <v/>
      </c>
      <c r="AA35">
        <f>HYPERLINK("https://klasma.github.io/Logging_1383/tillsyn/A 25055-2026 tillsynsbegäran.docx", "A 25055-2026")</f>
        <v/>
      </c>
      <c r="AB35">
        <f>HYPERLINK("https://klasma.github.io/Logging_1383/tillsynsmail/A 25055-2026 tillsynsbegäran mail.docx", "A 25055-2026")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46222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Ask</t>
        </is>
      </c>
      <c r="V36">
        <f>HYPERLINK("https://klasma.github.io/Logging_1383/artfynd/S 1760-2022 artfynd.xlsx", "S 1760-2022")</f>
        <v/>
      </c>
      <c r="W36">
        <f>HYPERLINK("https://klasma.github.io/Logging_1383/kartor/S 1760-2022 karta.png", "S 1760-2022")</f>
        <v/>
      </c>
      <c r="Y36">
        <f>HYPERLINK("https://klasma.github.io/Logging_1383/klagomål/S 1760-2022 FSC-klagomål.docx", "S 1760-2022")</f>
        <v/>
      </c>
      <c r="Z36">
        <f>HYPERLINK("https://klasma.github.io/Logging_1383/klagomålsmail/S 1760-2022 FSC-klagomål mail.docx", "S 1760-2022")</f>
        <v/>
      </c>
      <c r="AA36">
        <f>HYPERLINK("https://klasma.github.io/Logging_1383/tillsyn/S 1760-2022 tillsynsbegäran.docx", "S 1760-2022")</f>
        <v/>
      </c>
      <c r="AB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46222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Tornseglare</t>
        </is>
      </c>
      <c r="V37">
        <f>HYPERLINK("https://klasma.github.io/Logging_1383/artfynd/S 73-2024 artfynd.xlsx", "S 73-2024")</f>
        <v/>
      </c>
      <c r="W37">
        <f>HYPERLINK("https://klasma.github.io/Logging_1383/kartor/S 73-2024 karta.png", "S 73-2024")</f>
        <v/>
      </c>
      <c r="Y37">
        <f>HYPERLINK("https://klasma.github.io/Logging_1383/klagomål/S 73-2024 FSC-klagomål.docx", "S 73-2024")</f>
        <v/>
      </c>
      <c r="Z37">
        <f>HYPERLINK("https://klasma.github.io/Logging_1383/klagomålsmail/S 73-2024 FSC-klagomål mail.docx", "S 73-2024")</f>
        <v/>
      </c>
      <c r="AA37">
        <f>HYPERLINK("https://klasma.github.io/Logging_1383/tillsyn/S 73-2024 tillsynsbegäran.docx", "S 73-2024")</f>
        <v/>
      </c>
      <c r="AB37">
        <f>HYPERLINK("https://klasma.github.io/Logging_1383/tillsynsmail/S 73-2024 tillsynsbegäran mail.docx", "S 73-2024")</f>
        <v/>
      </c>
      <c r="AC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46222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46222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46222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46222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46222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46222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46222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46222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46222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46222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46222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46222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46222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46222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46222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46222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46222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46222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46222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46222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46222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46222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46222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46222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46222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46222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46222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46222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46222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46222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46222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46222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46222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46222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46222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46222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46222</v>
      </c>
      <c r="F74" t="inlineStr">
        <is>
          <t>HALLANDS LÄN</t>
        </is>
      </c>
      <c r="G74" t="inlineStr">
        <is>
          <t>VARBERG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31316-2022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46222</v>
      </c>
      <c r="F75" t="inlineStr">
        <is>
          <t>HALLANDS LÄN</t>
        </is>
      </c>
      <c r="G75" t="inlineStr">
        <is>
          <t>VARBERG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45411</v>
      </c>
      <c r="E76" s="1" t="n">
        <v>46222</v>
      </c>
      <c r="F76" t="inlineStr">
        <is>
          <t>HALLANDS LÄN</t>
        </is>
      </c>
      <c r="G76" t="inlineStr">
        <is>
          <t>VARBERG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45300</v>
      </c>
      <c r="E77" s="1" t="n">
        <v>46222</v>
      </c>
      <c r="F77" t="inlineStr">
        <is>
          <t>HALLANDS LÄN</t>
        </is>
      </c>
      <c r="G77" t="inlineStr">
        <is>
          <t>VARBERG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46222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20719-2024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46222</v>
      </c>
      <c r="F79" t="inlineStr">
        <is>
          <t>HALLANDS LÄN</t>
        </is>
      </c>
      <c r="G79" t="inlineStr">
        <is>
          <t>VARBERG</t>
        </is>
      </c>
      <c r="H79" t="inlineStr">
        <is>
          <t>Kyrkan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25821-2023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46222</v>
      </c>
      <c r="F80" t="inlineStr">
        <is>
          <t>HALLANDS LÄN</t>
        </is>
      </c>
      <c r="G80" t="inlineStr">
        <is>
          <t>VARBERG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56320-2022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44890</v>
      </c>
      <c r="E81" s="1" t="n">
        <v>46222</v>
      </c>
      <c r="F81" t="inlineStr">
        <is>
          <t>HALLANDS LÄN</t>
        </is>
      </c>
      <c r="G81" t="inlineStr">
        <is>
          <t>VARBERG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16755-2024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46222</v>
      </c>
      <c r="F82" t="inlineStr">
        <is>
          <t>HALLANDS LÄN</t>
        </is>
      </c>
      <c r="G82" t="inlineStr">
        <is>
          <t>VARBERG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45574</v>
      </c>
      <c r="E83" s="1" t="n">
        <v>46222</v>
      </c>
      <c r="F83" t="inlineStr">
        <is>
          <t>HALLANDS LÄN</t>
        </is>
      </c>
      <c r="G83" t="inlineStr">
        <is>
          <t>VARBERG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46222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58683-2022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46222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45323</v>
      </c>
      <c r="E86" s="1" t="n">
        <v>46222</v>
      </c>
      <c r="F86" t="inlineStr">
        <is>
          <t>HALLANDS LÄN</t>
        </is>
      </c>
      <c r="G86" t="inlineStr">
        <is>
          <t>VARBERG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50199-2021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44457</v>
      </c>
      <c r="E87" s="1" t="n">
        <v>46222</v>
      </c>
      <c r="F87" t="inlineStr">
        <is>
          <t>HALLANDS LÄN</t>
        </is>
      </c>
      <c r="G87" t="inlineStr">
        <is>
          <t>VARBERG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56967-2022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46222</v>
      </c>
      <c r="F88" t="inlineStr">
        <is>
          <t>HALLANDS LÄN</t>
        </is>
      </c>
      <c r="G88" t="inlineStr">
        <is>
          <t>VARBERG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27652-2023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45097</v>
      </c>
      <c r="E89" s="1" t="n">
        <v>46222</v>
      </c>
      <c r="F89" t="inlineStr">
        <is>
          <t>HALLANDS LÄN</t>
        </is>
      </c>
      <c r="G89" t="inlineStr">
        <is>
          <t>VARBERG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27654-2023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46222</v>
      </c>
      <c r="F90" t="inlineStr">
        <is>
          <t>HALLANDS LÄN</t>
        </is>
      </c>
      <c r="G90" t="inlineStr">
        <is>
          <t>VARBERG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46222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46222</v>
      </c>
      <c r="F92" t="inlineStr">
        <is>
          <t>HALLANDS LÄN</t>
        </is>
      </c>
      <c r="G92" t="inlineStr">
        <is>
          <t>VARBERG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46222</v>
      </c>
      <c r="F93" t="inlineStr">
        <is>
          <t>HALLANDS LÄN</t>
        </is>
      </c>
      <c r="G93" t="inlineStr">
        <is>
          <t>VARBERG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46222</v>
      </c>
      <c r="F94" t="inlineStr">
        <is>
          <t>HALLANDS LÄN</t>
        </is>
      </c>
      <c r="G94" t="inlineStr">
        <is>
          <t>VARBERG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44574</v>
      </c>
      <c r="E95" s="1" t="n">
        <v>46222</v>
      </c>
      <c r="F95" t="inlineStr">
        <is>
          <t>HALLANDS LÄN</t>
        </is>
      </c>
      <c r="G95" t="inlineStr">
        <is>
          <t>VARBERG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41769-2024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46222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46222</v>
      </c>
      <c r="F97" t="inlineStr">
        <is>
          <t>HALLANDS LÄN</t>
        </is>
      </c>
      <c r="G97" t="inlineStr">
        <is>
          <t>VARBERG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46222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26117-2025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45805</v>
      </c>
      <c r="E99" s="1" t="n">
        <v>46222</v>
      </c>
      <c r="F99" t="inlineStr">
        <is>
          <t>HALLANDS LÄN</t>
        </is>
      </c>
      <c r="G99" t="inlineStr">
        <is>
          <t>VARBERG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8989-2022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46222</v>
      </c>
      <c r="F100" t="inlineStr">
        <is>
          <t>HALLANDS LÄN</t>
        </is>
      </c>
      <c r="G100" t="inlineStr">
        <is>
          <t>VARBERG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28092-2024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45476</v>
      </c>
      <c r="E101" s="1" t="n">
        <v>46222</v>
      </c>
      <c r="F101" t="inlineStr">
        <is>
          <t>HALLANDS LÄN</t>
        </is>
      </c>
      <c r="G101" t="inlineStr">
        <is>
          <t>VARBERG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8249-2024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45352</v>
      </c>
      <c r="E102" s="1" t="n">
        <v>46222</v>
      </c>
      <c r="F102" t="inlineStr">
        <is>
          <t>HALLANDS LÄN</t>
        </is>
      </c>
      <c r="G102" t="inlineStr">
        <is>
          <t>VARBERG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46222</v>
      </c>
      <c r="F103" t="inlineStr">
        <is>
          <t>HALLANDS LÄN</t>
        </is>
      </c>
      <c r="G103" t="inlineStr">
        <is>
          <t>VARBERG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27524-2025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46222</v>
      </c>
      <c r="F104" t="inlineStr">
        <is>
          <t>HALLANDS LÄN</t>
        </is>
      </c>
      <c r="G104" t="inlineStr">
        <is>
          <t>VARBERG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9349-2024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46222</v>
      </c>
      <c r="F105" t="inlineStr">
        <is>
          <t>HALLANDS LÄN</t>
        </is>
      </c>
      <c r="G105" t="inlineStr">
        <is>
          <t>VARBERG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14536-2025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45741</v>
      </c>
      <c r="E106" s="1" t="n">
        <v>46222</v>
      </c>
      <c r="F106" t="inlineStr">
        <is>
          <t>HALLANDS LÄN</t>
        </is>
      </c>
      <c r="G106" t="inlineStr">
        <is>
          <t>VARBERG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44910</v>
      </c>
      <c r="E107" s="1" t="n">
        <v>46222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46222</v>
      </c>
      <c r="F108" t="inlineStr">
        <is>
          <t>HALLANDS LÄN</t>
        </is>
      </c>
      <c r="G108" t="inlineStr">
        <is>
          <t>VARBERG</t>
        </is>
      </c>
      <c r="H108" t="inlineStr">
        <is>
          <t>Övriga statliga verk och myndigheter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51932-2024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45607</v>
      </c>
      <c r="E109" s="1" t="n">
        <v>46222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19732-2024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46222</v>
      </c>
      <c r="F110" t="inlineStr">
        <is>
          <t>HALLANDS LÄN</t>
        </is>
      </c>
      <c r="G110" t="inlineStr">
        <is>
          <t>VARBERG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34028-2025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46222</v>
      </c>
      <c r="F111" t="inlineStr">
        <is>
          <t>HALLANDS LÄN</t>
        </is>
      </c>
      <c r="G111" t="inlineStr">
        <is>
          <t>VARBERG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46222</v>
      </c>
      <c r="F112" t="inlineStr">
        <is>
          <t>HALLANDS LÄN</t>
        </is>
      </c>
      <c r="G112" t="inlineStr">
        <is>
          <t>VARBERG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46222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46222</v>
      </c>
      <c r="F114" t="inlineStr">
        <is>
          <t>HALLANDS LÄN</t>
        </is>
      </c>
      <c r="G114" t="inlineStr">
        <is>
          <t>VARBERG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29318-2025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46222</v>
      </c>
      <c r="F115" t="inlineStr">
        <is>
          <t>HALLANDS LÄN</t>
        </is>
      </c>
      <c r="G115" t="inlineStr">
        <is>
          <t>VARBERG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46047</v>
      </c>
      <c r="E116" s="1" t="n">
        <v>46222</v>
      </c>
      <c r="F116" t="inlineStr">
        <is>
          <t>HALLANDS LÄN</t>
        </is>
      </c>
      <c r="G116" t="inlineStr">
        <is>
          <t>VARBERG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29634-2025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46222</v>
      </c>
      <c r="F117" t="inlineStr">
        <is>
          <t>HALLANDS LÄN</t>
        </is>
      </c>
      <c r="G117" t="inlineStr">
        <is>
          <t>VARBERG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35018-2025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45851</v>
      </c>
      <c r="E118" s="1" t="n">
        <v>46222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29630-2025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46222</v>
      </c>
      <c r="F119" t="inlineStr">
        <is>
          <t>HALLANDS LÄN</t>
        </is>
      </c>
      <c r="G119" t="inlineStr">
        <is>
          <t>VARBERG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14042-2024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45392</v>
      </c>
      <c r="E120" s="1" t="n">
        <v>46222</v>
      </c>
      <c r="F120" t="inlineStr">
        <is>
          <t>HALLANDS LÄN</t>
        </is>
      </c>
      <c r="G120" t="inlineStr">
        <is>
          <t>VARBERG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46047</v>
      </c>
      <c r="E121" s="1" t="n">
        <v>46222</v>
      </c>
      <c r="F121" t="inlineStr">
        <is>
          <t>HALLANDS LÄN</t>
        </is>
      </c>
      <c r="G121" t="inlineStr">
        <is>
          <t>VARBERG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14219-2025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46222</v>
      </c>
      <c r="F122" t="inlineStr">
        <is>
          <t>HALLANDS LÄN</t>
        </is>
      </c>
      <c r="G122" t="inlineStr">
        <is>
          <t>VARBERG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15426-2022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46222</v>
      </c>
      <c r="F123" t="inlineStr">
        <is>
          <t>HALLANDS LÄN</t>
        </is>
      </c>
      <c r="G123" t="inlineStr">
        <is>
          <t>VARBERG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48065-2024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46222</v>
      </c>
      <c r="F124" t="inlineStr">
        <is>
          <t>HALLANDS LÄN</t>
        </is>
      </c>
      <c r="G124" t="inlineStr">
        <is>
          <t>VARBERG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46222</v>
      </c>
      <c r="F125" t="inlineStr">
        <is>
          <t>HALLANDS LÄN</t>
        </is>
      </c>
      <c r="G125" t="inlineStr">
        <is>
          <t>VARBERG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48679-2023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46222</v>
      </c>
      <c r="F126" t="inlineStr">
        <is>
          <t>HALLANDS LÄN</t>
        </is>
      </c>
      <c r="G126" t="inlineStr">
        <is>
          <t>VARBERG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8263-2023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44974</v>
      </c>
      <c r="E127" s="1" t="n">
        <v>46222</v>
      </c>
      <c r="F127" t="inlineStr">
        <is>
          <t>HALLANDS LÄN</t>
        </is>
      </c>
      <c r="G127" t="inlineStr">
        <is>
          <t>VARBERG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38547-2025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46222</v>
      </c>
      <c r="F128" t="inlineStr">
        <is>
          <t>HALLANDS LÄN</t>
        </is>
      </c>
      <c r="G128" t="inlineStr">
        <is>
          <t>VARBERG</t>
        </is>
      </c>
      <c r="I128" t="n">
        <v>18.8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46222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42881-2025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46222</v>
      </c>
      <c r="F130" t="inlineStr">
        <is>
          <t>HALLANDS LÄN</t>
        </is>
      </c>
      <c r="G130" t="inlineStr">
        <is>
          <t>VARBERG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43273-2025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45910</v>
      </c>
      <c r="E131" s="1" t="n">
        <v>46222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46222</v>
      </c>
      <c r="F132" t="inlineStr">
        <is>
          <t>HALLANDS LÄN</t>
        </is>
      </c>
      <c r="G132" t="inlineStr">
        <is>
          <t>VARBERG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10229-2023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44980</v>
      </c>
      <c r="E133" s="1" t="n">
        <v>46222</v>
      </c>
      <c r="F133" t="inlineStr">
        <is>
          <t>HALLANDS LÄN</t>
        </is>
      </c>
      <c r="G133" t="inlineStr">
        <is>
          <t>VARBERG</t>
        </is>
      </c>
      <c r="H133" t="inlineStr">
        <is>
          <t>Övriga statliga verk och myndigheter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46222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13713-2023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46222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45835</v>
      </c>
      <c r="E136" s="1" t="n">
        <v>46222</v>
      </c>
      <c r="F136" t="inlineStr">
        <is>
          <t>HALLANDS LÄN</t>
        </is>
      </c>
      <c r="G136" t="inlineStr">
        <is>
          <t>VARBERG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46222</v>
      </c>
      <c r="F137" t="inlineStr">
        <is>
          <t>HALLANDS LÄN</t>
        </is>
      </c>
      <c r="G137" t="inlineStr">
        <is>
          <t>VARBERG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11523-2024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46222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32978-2025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46222</v>
      </c>
      <c r="F139" t="inlineStr">
        <is>
          <t>HALLANDS LÄN</t>
        </is>
      </c>
      <c r="G139" t="inlineStr">
        <is>
          <t>VARBERG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46222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19595-2025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46222</v>
      </c>
      <c r="F141" t="inlineStr">
        <is>
          <t>HALLANDS LÄN</t>
        </is>
      </c>
      <c r="G141" t="inlineStr">
        <is>
          <t>VARBERG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46222</v>
      </c>
      <c r="F142" t="inlineStr">
        <is>
          <t>HALLANDS LÄN</t>
        </is>
      </c>
      <c r="G142" t="inlineStr">
        <is>
          <t>VARBERG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46782-2024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45583</v>
      </c>
      <c r="E143" s="1" t="n">
        <v>46222</v>
      </c>
      <c r="F143" t="inlineStr">
        <is>
          <t>HALLANDS LÄN</t>
        </is>
      </c>
      <c r="G143" t="inlineStr">
        <is>
          <t>VARBERG</t>
        </is>
      </c>
      <c r="I143" t="n">
        <v>10.9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46222</v>
      </c>
      <c r="F144" t="inlineStr">
        <is>
          <t>HALLANDS LÄN</t>
        </is>
      </c>
      <c r="G144" t="inlineStr">
        <is>
          <t>VARBERG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46222</v>
      </c>
      <c r="F145" t="inlineStr">
        <is>
          <t>HALLANDS LÄN</t>
        </is>
      </c>
      <c r="G145" t="inlineStr">
        <is>
          <t>VARBERG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6306-2026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46222</v>
      </c>
      <c r="F146" t="inlineStr">
        <is>
          <t>HALLANDS LÄN</t>
        </is>
      </c>
      <c r="G146" t="inlineStr">
        <is>
          <t>VARBERG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14538-2025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46222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35126-2025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45852</v>
      </c>
      <c r="E148" s="1" t="n">
        <v>46222</v>
      </c>
      <c r="F148" t="inlineStr">
        <is>
          <t>HALLANDS LÄN</t>
        </is>
      </c>
      <c r="G148" t="inlineStr">
        <is>
          <t>VARBERG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34949-2025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45849</v>
      </c>
      <c r="E149" s="1" t="n">
        <v>46222</v>
      </c>
      <c r="F149" t="inlineStr">
        <is>
          <t>HALLANDS LÄN</t>
        </is>
      </c>
      <c r="G149" t="inlineStr">
        <is>
          <t>VARBERG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46222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45852</v>
      </c>
      <c r="E151" s="1" t="n">
        <v>46222</v>
      </c>
      <c r="F151" t="inlineStr">
        <is>
          <t>HALLANDS LÄN</t>
        </is>
      </c>
      <c r="G151" t="inlineStr">
        <is>
          <t>VARBERG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35124-2025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45852</v>
      </c>
      <c r="E152" s="1" t="n">
        <v>46222</v>
      </c>
      <c r="F152" t="inlineStr">
        <is>
          <t>HALLANDS LÄN</t>
        </is>
      </c>
      <c r="G152" t="inlineStr">
        <is>
          <t>VARBERG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13430-2025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46222</v>
      </c>
      <c r="F153" t="inlineStr">
        <is>
          <t>HALLANDS LÄN</t>
        </is>
      </c>
      <c r="G153" t="inlineStr">
        <is>
          <t>VARBERG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44966</v>
      </c>
      <c r="E154" s="1" t="n">
        <v>46222</v>
      </c>
      <c r="F154" t="inlineStr">
        <is>
          <t>HALLANDS LÄN</t>
        </is>
      </c>
      <c r="G154" t="inlineStr">
        <is>
          <t>VARBERG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45626-2024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45579</v>
      </c>
      <c r="E155" s="1" t="n">
        <v>46222</v>
      </c>
      <c r="F155" t="inlineStr">
        <is>
          <t>HALLANDS LÄN</t>
        </is>
      </c>
      <c r="G155" t="inlineStr">
        <is>
          <t>VARBERG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46222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46222</v>
      </c>
      <c r="F157" t="inlineStr">
        <is>
          <t>HALLANDS LÄN</t>
        </is>
      </c>
      <c r="G157" t="inlineStr">
        <is>
          <t>VARBERG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46222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48019-2025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46222</v>
      </c>
      <c r="F159" t="inlineStr">
        <is>
          <t>HALLANDS LÄN</t>
        </is>
      </c>
      <c r="G159" t="inlineStr">
        <is>
          <t>VARBERG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48027-2025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46222</v>
      </c>
      <c r="F160" t="inlineStr">
        <is>
          <t>HALLANDS LÄN</t>
        </is>
      </c>
      <c r="G160" t="inlineStr">
        <is>
          <t>VARBERG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52325-2024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46222</v>
      </c>
      <c r="F161" t="inlineStr">
        <is>
          <t>HALLANDS LÄN</t>
        </is>
      </c>
      <c r="G161" t="inlineStr">
        <is>
          <t>VARBERG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36051-2025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45866</v>
      </c>
      <c r="E162" s="1" t="n">
        <v>46222</v>
      </c>
      <c r="F162" t="inlineStr">
        <is>
          <t>HALLANDS LÄN</t>
        </is>
      </c>
      <c r="G162" t="inlineStr">
        <is>
          <t>VARBERG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27021-2022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44740</v>
      </c>
      <c r="E163" s="1" t="n">
        <v>46222</v>
      </c>
      <c r="F163" t="inlineStr">
        <is>
          <t>HALLANDS LÄN</t>
        </is>
      </c>
      <c r="G163" t="inlineStr">
        <is>
          <t>VARBERG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46222</v>
      </c>
      <c r="F164" t="inlineStr">
        <is>
          <t>HALLANDS LÄN</t>
        </is>
      </c>
      <c r="G164" t="inlineStr">
        <is>
          <t>VARBERG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33461-2023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45131</v>
      </c>
      <c r="E165" s="1" t="n">
        <v>46222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62740-2023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46222</v>
      </c>
      <c r="F166" t="inlineStr">
        <is>
          <t>HALLANDS LÄN</t>
        </is>
      </c>
      <c r="G166" t="inlineStr">
        <is>
          <t>VARBERG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46222</v>
      </c>
      <c r="F167" t="inlineStr">
        <is>
          <t>HALLANDS LÄN</t>
        </is>
      </c>
      <c r="G167" t="inlineStr">
        <is>
          <t>VARBERG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56853-2021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46222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46877-2023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45200</v>
      </c>
      <c r="E169" s="1" t="n">
        <v>46222</v>
      </c>
      <c r="F169" t="inlineStr">
        <is>
          <t>HALLANDS LÄN</t>
        </is>
      </c>
      <c r="G169" t="inlineStr">
        <is>
          <t>VARBERG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49760-2024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45597</v>
      </c>
      <c r="E170" s="1" t="n">
        <v>46222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9614-2024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45361</v>
      </c>
      <c r="E171" s="1" t="n">
        <v>46222</v>
      </c>
      <c r="F171" t="inlineStr">
        <is>
          <t>HALLANDS LÄN</t>
        </is>
      </c>
      <c r="G171" t="inlineStr">
        <is>
          <t>VARBERG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42047-2024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46222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46222</v>
      </c>
      <c r="F173" t="inlineStr">
        <is>
          <t>HALLANDS LÄN</t>
        </is>
      </c>
      <c r="G173" t="inlineStr">
        <is>
          <t>VARBERG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62655-2023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46222</v>
      </c>
      <c r="F174" t="inlineStr">
        <is>
          <t>HALLANDS LÄN</t>
        </is>
      </c>
      <c r="G174" t="inlineStr">
        <is>
          <t>VARBERG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72361-2021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44545</v>
      </c>
      <c r="E175" s="1" t="n">
        <v>46222</v>
      </c>
      <c r="F175" t="inlineStr">
        <is>
          <t>HALLANDS LÄN</t>
        </is>
      </c>
      <c r="G175" t="inlineStr">
        <is>
          <t>VARBERG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9572-2023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44982</v>
      </c>
      <c r="E176" s="1" t="n">
        <v>46222</v>
      </c>
      <c r="F176" t="inlineStr">
        <is>
          <t>HALLANDS LÄN</t>
        </is>
      </c>
      <c r="G176" t="inlineStr">
        <is>
          <t>VARBERG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41864-2022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44829</v>
      </c>
      <c r="E177" s="1" t="n">
        <v>46222</v>
      </c>
      <c r="F177" t="inlineStr">
        <is>
          <t>HALLANDS LÄN</t>
        </is>
      </c>
      <c r="G177" t="inlineStr">
        <is>
          <t>VARBERG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46222</v>
      </c>
      <c r="F178" t="inlineStr">
        <is>
          <t>HALLANDS LÄN</t>
        </is>
      </c>
      <c r="G178" t="inlineStr">
        <is>
          <t>VARBERG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28643-2025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46222</v>
      </c>
      <c r="F179" t="inlineStr">
        <is>
          <t>HALLANDS LÄN</t>
        </is>
      </c>
      <c r="G179" t="inlineStr">
        <is>
          <t>VARBERG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10428-2024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45365</v>
      </c>
      <c r="E180" s="1" t="n">
        <v>46222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46222</v>
      </c>
      <c r="F181" t="inlineStr">
        <is>
          <t>HALLANDS LÄN</t>
        </is>
      </c>
      <c r="G181" t="inlineStr">
        <is>
          <t>VARBERG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46222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46222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30910-2022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44767</v>
      </c>
      <c r="E184" s="1" t="n">
        <v>46222</v>
      </c>
      <c r="F184" t="inlineStr">
        <is>
          <t>HALLANDS LÄN</t>
        </is>
      </c>
      <c r="G184" t="inlineStr">
        <is>
          <t>VARBERG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44767</v>
      </c>
      <c r="E185" s="1" t="n">
        <v>46222</v>
      </c>
      <c r="F185" t="inlineStr">
        <is>
          <t>HALLANDS LÄN</t>
        </is>
      </c>
      <c r="G185" t="inlineStr">
        <is>
          <t>VARBERG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9108-2025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46222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46222</v>
      </c>
      <c r="F187" t="inlineStr">
        <is>
          <t>HALLANDS LÄN</t>
        </is>
      </c>
      <c r="G187" t="inlineStr">
        <is>
          <t>VARBERG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50340-2024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46222</v>
      </c>
      <c r="F188" t="inlineStr">
        <is>
          <t>HALLANDS LÄN</t>
        </is>
      </c>
      <c r="G188" t="inlineStr">
        <is>
          <t>VARBERG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46222</v>
      </c>
      <c r="F189" t="inlineStr">
        <is>
          <t>HALLANDS LÄN</t>
        </is>
      </c>
      <c r="G189" t="inlineStr">
        <is>
          <t>VARBERG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44831</v>
      </c>
      <c r="E190" s="1" t="n">
        <v>46222</v>
      </c>
      <c r="F190" t="inlineStr">
        <is>
          <t>HALLANDS LÄN</t>
        </is>
      </c>
      <c r="G190" t="inlineStr">
        <is>
          <t>VARBERG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46222</v>
      </c>
      <c r="F191" t="inlineStr">
        <is>
          <t>HALLANDS LÄN</t>
        </is>
      </c>
      <c r="G191" t="inlineStr">
        <is>
          <t>VARBERG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46222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46222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19893-2025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46222</v>
      </c>
      <c r="F194" t="inlineStr">
        <is>
          <t>HALLANDS LÄN</t>
        </is>
      </c>
      <c r="G194" t="inlineStr">
        <is>
          <t>VARBERG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59344-2024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46222</v>
      </c>
      <c r="F195" t="inlineStr">
        <is>
          <t>HALLANDS LÄN</t>
        </is>
      </c>
      <c r="G195" t="inlineStr">
        <is>
          <t>VARBERG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13799-2022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44649</v>
      </c>
      <c r="E196" s="1" t="n">
        <v>46222</v>
      </c>
      <c r="F196" t="inlineStr">
        <is>
          <t>HALLANDS LÄN</t>
        </is>
      </c>
      <c r="G196" t="inlineStr">
        <is>
          <t>VARBERG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50465-2025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46222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13825-2022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46222</v>
      </c>
      <c r="F198" t="inlineStr">
        <is>
          <t>HALLANDS LÄN</t>
        </is>
      </c>
      <c r="G198" t="inlineStr">
        <is>
          <t>VARBERG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46222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7811-2025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46222</v>
      </c>
      <c r="F200" t="inlineStr">
        <is>
          <t>HALLANDS LÄN</t>
        </is>
      </c>
      <c r="G200" t="inlineStr">
        <is>
          <t>VARBERG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46222</v>
      </c>
      <c r="F201" t="inlineStr">
        <is>
          <t>HALLANDS LÄN</t>
        </is>
      </c>
      <c r="G201" t="inlineStr">
        <is>
          <t>VARBERG</t>
        </is>
      </c>
      <c r="H201" t="inlineStr">
        <is>
          <t>Övriga statliga verk och myndigheter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52595-2025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45954</v>
      </c>
      <c r="E202" s="1" t="n">
        <v>46222</v>
      </c>
      <c r="F202" t="inlineStr">
        <is>
          <t>HALLANDS LÄN</t>
        </is>
      </c>
      <c r="G202" t="inlineStr">
        <is>
          <t>VARBERG</t>
        </is>
      </c>
      <c r="H202" t="inlineStr">
        <is>
          <t>Kyrkan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13141-2022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44644</v>
      </c>
      <c r="E203" s="1" t="n">
        <v>46222</v>
      </c>
      <c r="F203" t="inlineStr">
        <is>
          <t>HALLANDS LÄN</t>
        </is>
      </c>
      <c r="G203" t="inlineStr">
        <is>
          <t>VARBERG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46222</v>
      </c>
      <c r="F204" t="inlineStr">
        <is>
          <t>HALLANDS LÄN</t>
        </is>
      </c>
      <c r="G204" t="inlineStr">
        <is>
          <t>VARBERG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8380-2026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46064</v>
      </c>
      <c r="E205" s="1" t="n">
        <v>46222</v>
      </c>
      <c r="F205" t="inlineStr">
        <is>
          <t>HALLANDS LÄN</t>
        </is>
      </c>
      <c r="G205" t="inlineStr">
        <is>
          <t>VARBERG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46222</v>
      </c>
      <c r="F206" t="inlineStr">
        <is>
          <t>HALLANDS LÄN</t>
        </is>
      </c>
      <c r="G206" t="inlineStr">
        <is>
          <t>VARBERG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6773-2025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46222</v>
      </c>
      <c r="F207" t="inlineStr">
        <is>
          <t>HALLANDS LÄN</t>
        </is>
      </c>
      <c r="G207" t="inlineStr">
        <is>
          <t>VARBERG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24839-2023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46222</v>
      </c>
      <c r="F208" t="inlineStr">
        <is>
          <t>HALLANDS LÄN</t>
        </is>
      </c>
      <c r="G208" t="inlineStr">
        <is>
          <t>VARBERG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46222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46222</v>
      </c>
      <c r="F210" t="inlineStr">
        <is>
          <t>HALLANDS LÄN</t>
        </is>
      </c>
      <c r="G210" t="inlineStr">
        <is>
          <t>VARBERG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53547-2025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46222</v>
      </c>
      <c r="F211" t="inlineStr">
        <is>
          <t>HALLANDS LÄN</t>
        </is>
      </c>
      <c r="G211" t="inlineStr">
        <is>
          <t>VARBERG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15035-2025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46222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7836-2025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46222</v>
      </c>
      <c r="F213" t="inlineStr">
        <is>
          <t>HALLANDS LÄN</t>
        </is>
      </c>
      <c r="G213" t="inlineStr">
        <is>
          <t>VARBERG</t>
        </is>
      </c>
      <c r="H213" t="inlineStr">
        <is>
          <t>Övriga statliga verk och myndigheter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14912-2025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46222</v>
      </c>
      <c r="F214" t="inlineStr">
        <is>
          <t>HALLANDS LÄN</t>
        </is>
      </c>
      <c r="G214" t="inlineStr">
        <is>
          <t>VARBERG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46222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7109-2023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46222</v>
      </c>
      <c r="F216" t="inlineStr">
        <is>
          <t>HALLANDS LÄN</t>
        </is>
      </c>
      <c r="G216" t="inlineStr">
        <is>
          <t>VARBERG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20050-2025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46222</v>
      </c>
      <c r="F217" t="inlineStr">
        <is>
          <t>HALLANDS LÄN</t>
        </is>
      </c>
      <c r="G217" t="inlineStr">
        <is>
          <t>VARBERG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46026-2023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45196</v>
      </c>
      <c r="E218" s="1" t="n">
        <v>46222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56382-2025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46222</v>
      </c>
      <c r="F219" t="inlineStr">
        <is>
          <t>HALLANDS LÄN</t>
        </is>
      </c>
      <c r="G219" t="inlineStr">
        <is>
          <t>VARBERG</t>
        </is>
      </c>
      <c r="I219" t="n">
        <v>10.6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55893-2025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46222</v>
      </c>
      <c r="F220" t="inlineStr">
        <is>
          <t>HALLANDS LÄN</t>
        </is>
      </c>
      <c r="G220" t="inlineStr">
        <is>
          <t>VARBERG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46222</v>
      </c>
      <c r="F221" t="inlineStr">
        <is>
          <t>HALLANDS LÄN</t>
        </is>
      </c>
      <c r="G221" t="inlineStr">
        <is>
          <t>VARBERG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46222</v>
      </c>
      <c r="F222" t="inlineStr">
        <is>
          <t>HALLANDS LÄN</t>
        </is>
      </c>
      <c r="G222" t="inlineStr">
        <is>
          <t>VARBERG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31826-2024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45509</v>
      </c>
      <c r="E223" s="1" t="n">
        <v>46222</v>
      </c>
      <c r="F223" t="inlineStr">
        <is>
          <t>HALLANDS LÄN</t>
        </is>
      </c>
      <c r="G223" t="inlineStr">
        <is>
          <t>VARBERG</t>
        </is>
      </c>
      <c r="H223" t="inlineStr">
        <is>
          <t>Kyrkan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20011-2023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45054</v>
      </c>
      <c r="E224" s="1" t="n">
        <v>46222</v>
      </c>
      <c r="F224" t="inlineStr">
        <is>
          <t>HALLANDS LÄN</t>
        </is>
      </c>
      <c r="G224" t="inlineStr">
        <is>
          <t>VARBERG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57684-2025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45980</v>
      </c>
      <c r="E225" s="1" t="n">
        <v>46222</v>
      </c>
      <c r="F225" t="inlineStr">
        <is>
          <t>HALLANDS LÄN</t>
        </is>
      </c>
      <c r="G225" t="inlineStr">
        <is>
          <t>VARBERG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20111-2023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46222</v>
      </c>
      <c r="F226" t="inlineStr">
        <is>
          <t>HALLANDS LÄN</t>
        </is>
      </c>
      <c r="G226" t="inlineStr">
        <is>
          <t>VARBERG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46395-2023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46222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46222</v>
      </c>
      <c r="F228" t="inlineStr">
        <is>
          <t>HALLANDS LÄN</t>
        </is>
      </c>
      <c r="G228" t="inlineStr">
        <is>
          <t>VARBERG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23052-2023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46222</v>
      </c>
      <c r="F229" t="inlineStr">
        <is>
          <t>HALLANDS LÄN</t>
        </is>
      </c>
      <c r="G229" t="inlineStr">
        <is>
          <t>VARBERG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57669-2023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46222</v>
      </c>
      <c r="F230" t="inlineStr">
        <is>
          <t>HALLANDS LÄN</t>
        </is>
      </c>
      <c r="G230" t="inlineStr">
        <is>
          <t>VARBERG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46222</v>
      </c>
      <c r="F231" t="inlineStr">
        <is>
          <t>HALLANDS LÄN</t>
        </is>
      </c>
      <c r="G231" t="inlineStr">
        <is>
          <t>VARBERG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46222</v>
      </c>
      <c r="F232" t="inlineStr">
        <is>
          <t>HALLANDS LÄN</t>
        </is>
      </c>
      <c r="G232" t="inlineStr">
        <is>
          <t>VARBERG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10687-2025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46222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46222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58722-2025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46222</v>
      </c>
      <c r="F235" t="inlineStr">
        <is>
          <t>HALLANDS LÄN</t>
        </is>
      </c>
      <c r="G235" t="inlineStr">
        <is>
          <t>VARBERG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59108-2025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46222</v>
      </c>
      <c r="F236" t="inlineStr">
        <is>
          <t>HALLANDS LÄN</t>
        </is>
      </c>
      <c r="G236" t="inlineStr">
        <is>
          <t>VARBERG</t>
        </is>
      </c>
      <c r="H236" t="inlineStr">
        <is>
          <t>Övriga statliga verk och myndigheter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49182-2023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46222</v>
      </c>
      <c r="F237" t="inlineStr">
        <is>
          <t>HALLANDS LÄN</t>
        </is>
      </c>
      <c r="G237" t="inlineStr">
        <is>
          <t>VARBERG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46222</v>
      </c>
      <c r="F238" t="inlineStr">
        <is>
          <t>HALLANDS LÄN</t>
        </is>
      </c>
      <c r="G238" t="inlineStr">
        <is>
          <t>VARBERG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15250-2025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46222</v>
      </c>
      <c r="F239" t="inlineStr">
        <is>
          <t>HALLANDS LÄN</t>
        </is>
      </c>
      <c r="G239" t="inlineStr">
        <is>
          <t>VARBERG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12845-2026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46222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46222</v>
      </c>
      <c r="F241" t="inlineStr">
        <is>
          <t>HALLANDS LÄN</t>
        </is>
      </c>
      <c r="G241" t="inlineStr">
        <is>
          <t>VARBERG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46222</v>
      </c>
      <c r="F242" t="inlineStr">
        <is>
          <t>HALLANDS LÄN</t>
        </is>
      </c>
      <c r="G242" t="inlineStr">
        <is>
          <t>VARBERG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60209-2025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46222</v>
      </c>
      <c r="F243" t="inlineStr">
        <is>
          <t>HALLANDS LÄN</t>
        </is>
      </c>
      <c r="G243" t="inlineStr">
        <is>
          <t>VARBERG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13469-2026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46222</v>
      </c>
      <c r="F244" t="inlineStr">
        <is>
          <t>HALLANDS LÄN</t>
        </is>
      </c>
      <c r="G244" t="inlineStr">
        <is>
          <t>VARBERG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13429-2026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46222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24961-2023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46222</v>
      </c>
      <c r="F246" t="inlineStr">
        <is>
          <t>HALLANDS LÄN</t>
        </is>
      </c>
      <c r="G246" t="inlineStr">
        <is>
          <t>VARBERG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20704-2023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46222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23886-2024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45455</v>
      </c>
      <c r="E248" s="1" t="n">
        <v>46222</v>
      </c>
      <c r="F248" t="inlineStr">
        <is>
          <t>HALLANDS LÄN</t>
        </is>
      </c>
      <c r="G248" t="inlineStr">
        <is>
          <t>VARBERG</t>
        </is>
      </c>
      <c r="H248" t="inlineStr">
        <is>
          <t>Kyrkan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46222</v>
      </c>
      <c r="F249" t="inlineStr">
        <is>
          <t>HALLANDS LÄN</t>
        </is>
      </c>
      <c r="G249" t="inlineStr">
        <is>
          <t>VARBERG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46222</v>
      </c>
      <c r="F250" t="inlineStr">
        <is>
          <t>HALLANDS LÄN</t>
        </is>
      </c>
      <c r="G250" t="inlineStr">
        <is>
          <t>VARBERG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63667-2023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46222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10808-2024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46222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46222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46222</v>
      </c>
      <c r="F254" t="inlineStr">
        <is>
          <t>HALLANDS LÄN</t>
        </is>
      </c>
      <c r="G254" t="inlineStr">
        <is>
          <t>VARBERG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62353-2025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46222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62354-2025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46222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62608-2025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46008</v>
      </c>
      <c r="E257" s="1" t="n">
        <v>46222</v>
      </c>
      <c r="F257" t="inlineStr">
        <is>
          <t>HALLANDS LÄN</t>
        </is>
      </c>
      <c r="G257" t="inlineStr">
        <is>
          <t>VARBERG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62356-2025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46222</v>
      </c>
      <c r="F258" t="inlineStr">
        <is>
          <t>HALLANDS LÄN</t>
        </is>
      </c>
      <c r="G258" t="inlineStr">
        <is>
          <t>VARBERG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63271-2025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46010</v>
      </c>
      <c r="E259" s="1" t="n">
        <v>46222</v>
      </c>
      <c r="F259" t="inlineStr">
        <is>
          <t>HALLANDS LÄN</t>
        </is>
      </c>
      <c r="G259" t="inlineStr">
        <is>
          <t>VARBERG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54048-2021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44470</v>
      </c>
      <c r="E260" s="1" t="n">
        <v>46222</v>
      </c>
      <c r="F260" t="inlineStr">
        <is>
          <t>HALLANDS LÄN</t>
        </is>
      </c>
      <c r="G260" t="inlineStr">
        <is>
          <t>VARBERG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62612-2025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46222</v>
      </c>
      <c r="F261" t="inlineStr">
        <is>
          <t>HALLANDS LÄN</t>
        </is>
      </c>
      <c r="G261" t="inlineStr">
        <is>
          <t>VARBERG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46222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63638-2025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46222</v>
      </c>
      <c r="F263" t="inlineStr">
        <is>
          <t>HALLANDS LÄN</t>
        </is>
      </c>
      <c r="G263" t="inlineStr">
        <is>
          <t>VARBERG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46222</v>
      </c>
      <c r="F264" t="inlineStr">
        <is>
          <t>HALLANDS LÄN</t>
        </is>
      </c>
      <c r="G264" t="inlineStr">
        <is>
          <t>VARBERG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15013-2026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46222</v>
      </c>
      <c r="F265" t="inlineStr">
        <is>
          <t>HALLANDS LÄN</t>
        </is>
      </c>
      <c r="G265" t="inlineStr">
        <is>
          <t>VARBERG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63630-2025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46222</v>
      </c>
      <c r="F266" t="inlineStr">
        <is>
          <t>HALLANDS LÄN</t>
        </is>
      </c>
      <c r="G266" t="inlineStr">
        <is>
          <t>VARBERG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46222</v>
      </c>
      <c r="F267" t="inlineStr">
        <is>
          <t>HALLANDS LÄN</t>
        </is>
      </c>
      <c r="G267" t="inlineStr">
        <is>
          <t>VARBERG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45336</v>
      </c>
      <c r="E268" s="1" t="n">
        <v>46222</v>
      </c>
      <c r="F268" t="inlineStr">
        <is>
          <t>HALLANDS LÄN</t>
        </is>
      </c>
      <c r="G268" t="inlineStr">
        <is>
          <t>VARBERG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46024</v>
      </c>
      <c r="E269" s="1" t="n">
        <v>46222</v>
      </c>
      <c r="F269" t="inlineStr">
        <is>
          <t>HALLANDS LÄN</t>
        </is>
      </c>
      <c r="G269" t="inlineStr">
        <is>
          <t>VARBERG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57562-2022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44896</v>
      </c>
      <c r="E270" s="1" t="n">
        <v>46222</v>
      </c>
      <c r="F270" t="inlineStr">
        <is>
          <t>HALLANDS LÄN</t>
        </is>
      </c>
      <c r="G270" t="inlineStr">
        <is>
          <t>VARBERG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7124-2024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46222</v>
      </c>
      <c r="F271" t="inlineStr">
        <is>
          <t>HALLANDS LÄN</t>
        </is>
      </c>
      <c r="G271" t="inlineStr">
        <is>
          <t>VARBERG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9885-2023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46222</v>
      </c>
      <c r="F272" t="inlineStr">
        <is>
          <t>HALLANDS LÄN</t>
        </is>
      </c>
      <c r="G272" t="inlineStr">
        <is>
          <t>VARBERG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46222</v>
      </c>
      <c r="F273" t="inlineStr">
        <is>
          <t>HALLANDS LÄN</t>
        </is>
      </c>
      <c r="G273" t="inlineStr">
        <is>
          <t>VARBERG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41629-2022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46222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46222</v>
      </c>
      <c r="F275" t="inlineStr">
        <is>
          <t>HALLANDS LÄN</t>
        </is>
      </c>
      <c r="G275" t="inlineStr">
        <is>
          <t>VARBERG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71841-2021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46222</v>
      </c>
      <c r="F276" t="inlineStr">
        <is>
          <t>HALLANDS LÄN</t>
        </is>
      </c>
      <c r="G276" t="inlineStr">
        <is>
          <t>VARBERG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46222</v>
      </c>
      <c r="F277" t="inlineStr">
        <is>
          <t>HALLANDS LÄN</t>
        </is>
      </c>
      <c r="G277" t="inlineStr">
        <is>
          <t>VARBERG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14856-2025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46222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9235-2023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44980</v>
      </c>
      <c r="E279" s="1" t="n">
        <v>46222</v>
      </c>
      <c r="F279" t="inlineStr">
        <is>
          <t>HALLANDS LÄN</t>
        </is>
      </c>
      <c r="G279" t="inlineStr">
        <is>
          <t>VARBERG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46222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64767-2023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45281</v>
      </c>
      <c r="E281" s="1" t="n">
        <v>46222</v>
      </c>
      <c r="F281" t="inlineStr">
        <is>
          <t>HALLANDS LÄN</t>
        </is>
      </c>
      <c r="G281" t="inlineStr">
        <is>
          <t>VARBERG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7609-2022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46222</v>
      </c>
      <c r="F282" t="inlineStr">
        <is>
          <t>HALLANDS LÄN</t>
        </is>
      </c>
      <c r="G282" t="inlineStr">
        <is>
          <t>VARBERG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9465-2023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44981</v>
      </c>
      <c r="E283" s="1" t="n">
        <v>46222</v>
      </c>
      <c r="F283" t="inlineStr">
        <is>
          <t>HALLANDS LÄN</t>
        </is>
      </c>
      <c r="G283" t="inlineStr">
        <is>
          <t>VARBERG</t>
        </is>
      </c>
      <c r="I283" t="n">
        <v>9.9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17401-2026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46222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48768-2024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46222</v>
      </c>
      <c r="F285" t="inlineStr">
        <is>
          <t>HALLANDS LÄN</t>
        </is>
      </c>
      <c r="G285" t="inlineStr">
        <is>
          <t>VARBERG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57659-2023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46222</v>
      </c>
      <c r="F286" t="inlineStr">
        <is>
          <t>HALLANDS LÄN</t>
        </is>
      </c>
      <c r="G286" t="inlineStr">
        <is>
          <t>VARBERG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70040-2021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46222</v>
      </c>
      <c r="F287" t="inlineStr">
        <is>
          <t>HALLANDS LÄN</t>
        </is>
      </c>
      <c r="G287" t="inlineStr">
        <is>
          <t>VARBERG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19130-2026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46132</v>
      </c>
      <c r="E288" s="1" t="n">
        <v>46222</v>
      </c>
      <c r="F288" t="inlineStr">
        <is>
          <t>HALLANDS LÄN</t>
        </is>
      </c>
      <c r="G288" t="inlineStr">
        <is>
          <t>VARBERG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44619-2024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46222</v>
      </c>
      <c r="F289" t="inlineStr">
        <is>
          <t>HALLANDS LÄN</t>
        </is>
      </c>
      <c r="G289" t="inlineStr">
        <is>
          <t>VARBERG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46578-2024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45582</v>
      </c>
      <c r="E290" s="1" t="n">
        <v>46222</v>
      </c>
      <c r="F290" t="inlineStr">
        <is>
          <t>HALLANDS LÄN</t>
        </is>
      </c>
      <c r="G290" t="inlineStr">
        <is>
          <t>VARBERG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18343-2024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45422</v>
      </c>
      <c r="E291" s="1" t="n">
        <v>46222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20072-2024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45434</v>
      </c>
      <c r="E292" s="1" t="n">
        <v>46222</v>
      </c>
      <c r="F292" t="inlineStr">
        <is>
          <t>HALLANDS LÄN</t>
        </is>
      </c>
      <c r="G292" t="inlineStr">
        <is>
          <t>VARBERG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10688-2025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45722</v>
      </c>
      <c r="E293" s="1" t="n">
        <v>46222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29889-2024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45487</v>
      </c>
      <c r="E294" s="1" t="n">
        <v>46222</v>
      </c>
      <c r="F294" t="inlineStr">
        <is>
          <t>HALLANDS LÄN</t>
        </is>
      </c>
      <c r="G294" t="inlineStr">
        <is>
          <t>VARBERG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7695-2024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45349</v>
      </c>
      <c r="E295" s="1" t="n">
        <v>46222</v>
      </c>
      <c r="F295" t="inlineStr">
        <is>
          <t>HALLANDS LÄN</t>
        </is>
      </c>
      <c r="G295" t="inlineStr">
        <is>
          <t>VARBERG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44967</v>
      </c>
      <c r="E296" s="1" t="n">
        <v>46222</v>
      </c>
      <c r="F296" t="inlineStr">
        <is>
          <t>HALLANDS LÄN</t>
        </is>
      </c>
      <c r="G296" t="inlineStr">
        <is>
          <t>VARBERG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25242-2023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45086</v>
      </c>
      <c r="E297" s="1" t="n">
        <v>46222</v>
      </c>
      <c r="F297" t="inlineStr">
        <is>
          <t>HALLANDS LÄN</t>
        </is>
      </c>
      <c r="G297" t="inlineStr">
        <is>
          <t>VARBERG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29890-2024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45487</v>
      </c>
      <c r="E298" s="1" t="n">
        <v>46222</v>
      </c>
      <c r="F298" t="inlineStr">
        <is>
          <t>HALLANDS LÄN</t>
        </is>
      </c>
      <c r="G298" t="inlineStr">
        <is>
          <t>VARBERG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23213-2023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45075</v>
      </c>
      <c r="E299" s="1" t="n">
        <v>46222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42498-2025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46222</v>
      </c>
      <c r="F300" t="inlineStr">
        <is>
          <t>HALLANDS LÄN</t>
        </is>
      </c>
      <c r="G300" t="inlineStr">
        <is>
          <t>VARBERG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46222</v>
      </c>
      <c r="F301" t="inlineStr">
        <is>
          <t>HALLANDS LÄN</t>
        </is>
      </c>
      <c r="G301" t="inlineStr">
        <is>
          <t>VARBERG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45727</v>
      </c>
      <c r="E302" s="1" t="n">
        <v>46222</v>
      </c>
      <c r="F302" t="inlineStr">
        <is>
          <t>HALLANDS LÄN</t>
        </is>
      </c>
      <c r="G302" t="inlineStr">
        <is>
          <t>VARBERG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46222</v>
      </c>
      <c r="F303" t="inlineStr">
        <is>
          <t>HALLANDS LÄN</t>
        </is>
      </c>
      <c r="G303" t="inlineStr">
        <is>
          <t>VARBERG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15065-2025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46222</v>
      </c>
      <c r="F304" t="inlineStr">
        <is>
          <t>HALLANDS LÄN</t>
        </is>
      </c>
      <c r="G304" t="inlineStr">
        <is>
          <t>VARBERG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13782-2022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44649</v>
      </c>
      <c r="E305" s="1" t="n">
        <v>46222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10575-2024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46222</v>
      </c>
      <c r="F306" t="inlineStr">
        <is>
          <t>HALLANDS LÄN</t>
        </is>
      </c>
      <c r="G306" t="inlineStr">
        <is>
          <t>VARBERG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46222</v>
      </c>
      <c r="F307" t="inlineStr">
        <is>
          <t>HALLANDS LÄN</t>
        </is>
      </c>
      <c r="G307" t="inlineStr">
        <is>
          <t>VARBERG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59432-2024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45638</v>
      </c>
      <c r="E308" s="1" t="n">
        <v>46222</v>
      </c>
      <c r="F308" t="inlineStr">
        <is>
          <t>HALLANDS LÄN</t>
        </is>
      </c>
      <c r="G308" t="inlineStr">
        <is>
          <t>VARBERG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40062-2024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46222</v>
      </c>
      <c r="F309" t="inlineStr">
        <is>
          <t>HALLANDS LÄN</t>
        </is>
      </c>
      <c r="G309" t="inlineStr">
        <is>
          <t>VARBERG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43037-2023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46222</v>
      </c>
      <c r="F310" t="inlineStr">
        <is>
          <t>HALLANDS LÄN</t>
        </is>
      </c>
      <c r="G310" t="inlineStr">
        <is>
          <t>VARBERG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55813-2024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46222</v>
      </c>
      <c r="F311" t="inlineStr">
        <is>
          <t>HALLANDS LÄN</t>
        </is>
      </c>
      <c r="G311" t="inlineStr">
        <is>
          <t>VARBERG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50341-2024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46222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50342-2024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46222</v>
      </c>
      <c r="F313" t="inlineStr">
        <is>
          <t>HALLANDS LÄN</t>
        </is>
      </c>
      <c r="G313" t="inlineStr">
        <is>
          <t>VARBERG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28489-2024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45477</v>
      </c>
      <c r="E314" s="1" t="n">
        <v>46222</v>
      </c>
      <c r="F314" t="inlineStr">
        <is>
          <t>HALLANDS LÄN</t>
        </is>
      </c>
      <c r="G314" t="inlineStr">
        <is>
          <t>VARBERG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8189-2025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46222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34570-2023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46222</v>
      </c>
      <c r="F316" t="inlineStr">
        <is>
          <t>HALLANDS LÄN</t>
        </is>
      </c>
      <c r="G316" t="inlineStr">
        <is>
          <t>VARBERG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34571-2023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46222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48013-2025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46222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21992-2022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46222</v>
      </c>
      <c r="F319" t="inlineStr">
        <is>
          <t>HALLANDS LÄN</t>
        </is>
      </c>
      <c r="G319" t="inlineStr">
        <is>
          <t>VARBERG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61075-2023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45261</v>
      </c>
      <c r="E320" s="1" t="n">
        <v>46222</v>
      </c>
      <c r="F320" t="inlineStr">
        <is>
          <t>HALLANDS LÄN</t>
        </is>
      </c>
      <c r="G320" t="inlineStr">
        <is>
          <t>VARBERG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13828-2022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46222</v>
      </c>
      <c r="F321" t="inlineStr">
        <is>
          <t>HALLANDS LÄN</t>
        </is>
      </c>
      <c r="G321" t="inlineStr">
        <is>
          <t>VARBERG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45785</v>
      </c>
      <c r="E322" s="1" t="n">
        <v>46222</v>
      </c>
      <c r="F322" t="inlineStr">
        <is>
          <t>HALLANDS LÄN</t>
        </is>
      </c>
      <c r="G322" t="inlineStr">
        <is>
          <t>VARBERG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45177</v>
      </c>
      <c r="E323" s="1" t="n">
        <v>46222</v>
      </c>
      <c r="F323" t="inlineStr">
        <is>
          <t>HALLANDS LÄN</t>
        </is>
      </c>
      <c r="G323" t="inlineStr">
        <is>
          <t>VARBERG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23471-2025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45792</v>
      </c>
      <c r="E324" s="1" t="n">
        <v>46222</v>
      </c>
      <c r="F324" t="inlineStr">
        <is>
          <t>HALLANDS LÄN</t>
        </is>
      </c>
      <c r="G324" t="inlineStr">
        <is>
          <t>VARBERG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46913-2025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46222</v>
      </c>
      <c r="F325" t="inlineStr">
        <is>
          <t>HALLANDS LÄN</t>
        </is>
      </c>
      <c r="G325" t="inlineStr">
        <is>
          <t>VARBERG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46421-2023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46222</v>
      </c>
      <c r="F326" t="inlineStr">
        <is>
          <t>HALLANDS LÄN</t>
        </is>
      </c>
      <c r="G326" t="inlineStr">
        <is>
          <t>VARBERG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46222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15413-2024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45401</v>
      </c>
      <c r="E328" s="1" t="n">
        <v>46222</v>
      </c>
      <c r="F328" t="inlineStr">
        <is>
          <t>HALLANDS LÄN</t>
        </is>
      </c>
      <c r="G328" t="inlineStr">
        <is>
          <t>VARBERG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26202-2026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46222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37594-2023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46222</v>
      </c>
      <c r="F330" t="inlineStr">
        <is>
          <t>HALLANDS LÄN</t>
        </is>
      </c>
      <c r="G330" t="inlineStr">
        <is>
          <t>VARBERG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27100-2026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46222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46222</v>
      </c>
      <c r="F332" t="inlineStr">
        <is>
          <t>HALLANDS LÄN</t>
        </is>
      </c>
      <c r="G332" t="inlineStr">
        <is>
          <t>VARBERG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64203-2023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46222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27099-2026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46222</v>
      </c>
      <c r="F334" t="inlineStr">
        <is>
          <t>HALLANDS LÄN</t>
        </is>
      </c>
      <c r="G334" t="inlineStr">
        <is>
          <t>VARBERG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27275-2026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46222</v>
      </c>
      <c r="F335" t="inlineStr">
        <is>
          <t>HALLANDS LÄN</t>
        </is>
      </c>
      <c r="G335" t="inlineStr">
        <is>
          <t>VARBERG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4598-2024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45328</v>
      </c>
      <c r="E336" s="1" t="n">
        <v>46222</v>
      </c>
      <c r="F336" t="inlineStr">
        <is>
          <t>HALLANDS LÄN</t>
        </is>
      </c>
      <c r="G336" t="inlineStr">
        <is>
          <t>VARBERG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14756-2024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45397</v>
      </c>
      <c r="E337" s="1" t="n">
        <v>46222</v>
      </c>
      <c r="F337" t="inlineStr">
        <is>
          <t>HALLANDS LÄN</t>
        </is>
      </c>
      <c r="G337" t="inlineStr">
        <is>
          <t>VARBERG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32473-2024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45513</v>
      </c>
      <c r="E338" s="1" t="n">
        <v>46222</v>
      </c>
      <c r="F338" t="inlineStr">
        <is>
          <t>HALLANDS LÄN</t>
        </is>
      </c>
      <c r="G338" t="inlineStr">
        <is>
          <t>VARBERG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9925-2025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45717</v>
      </c>
      <c r="E339" s="1" t="n">
        <v>46222</v>
      </c>
      <c r="F339" t="inlineStr">
        <is>
          <t>HALLANDS LÄN</t>
        </is>
      </c>
      <c r="G339" t="inlineStr">
        <is>
          <t>VARBERG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17739-2025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45758</v>
      </c>
      <c r="E340" s="1" t="n">
        <v>46222</v>
      </c>
      <c r="F340" t="inlineStr">
        <is>
          <t>HALLANDS LÄN</t>
        </is>
      </c>
      <c r="G340" t="inlineStr">
        <is>
          <t>VARBERG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2464-2024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45313</v>
      </c>
      <c r="E341" s="1" t="n">
        <v>46222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46771-2022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44851</v>
      </c>
      <c r="E342" s="1" t="n">
        <v>46222</v>
      </c>
      <c r="F342" t="inlineStr">
        <is>
          <t>HALLANDS LÄN</t>
        </is>
      </c>
      <c r="G342" t="inlineStr">
        <is>
          <t>VARBERG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62942-2023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45272</v>
      </c>
      <c r="E343" s="1" t="n">
        <v>46222</v>
      </c>
      <c r="F343" t="inlineStr">
        <is>
          <t>HALLANDS LÄN</t>
        </is>
      </c>
      <c r="G343" t="inlineStr">
        <is>
          <t>VARBERG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28272-2026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46222</v>
      </c>
      <c r="F344" t="inlineStr">
        <is>
          <t>HALLANDS LÄN</t>
        </is>
      </c>
      <c r="G344" t="inlineStr">
        <is>
          <t>VARBERG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15426-2024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45401</v>
      </c>
      <c r="E345" s="1" t="n">
        <v>46222</v>
      </c>
      <c r="F345" t="inlineStr">
        <is>
          <t>HALLANDS LÄN</t>
        </is>
      </c>
      <c r="G345" t="inlineStr">
        <is>
          <t>VARBERG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60556-2023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45259</v>
      </c>
      <c r="E346" s="1" t="n">
        <v>46222</v>
      </c>
      <c r="F346" t="inlineStr">
        <is>
          <t>HALLANDS LÄN</t>
        </is>
      </c>
      <c r="G346" t="inlineStr">
        <is>
          <t>VARBERG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55505-2023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45238</v>
      </c>
      <c r="E347" s="1" t="n">
        <v>46222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28263-2026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46222</v>
      </c>
      <c r="F348" t="inlineStr">
        <is>
          <t>HALLANDS LÄN</t>
        </is>
      </c>
      <c r="G348" t="inlineStr">
        <is>
          <t>VARBERG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46222</v>
      </c>
      <c r="F349" t="inlineStr">
        <is>
          <t>HALLANDS LÄN</t>
        </is>
      </c>
      <c r="G349" t="inlineStr">
        <is>
          <t>VARBERG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59981-2024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45642</v>
      </c>
      <c r="E350" s="1" t="n">
        <v>46222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45720</v>
      </c>
      <c r="E351" s="1" t="n">
        <v>46222</v>
      </c>
      <c r="F351" t="inlineStr">
        <is>
          <t>HALLANDS LÄN</t>
        </is>
      </c>
      <c r="G351" t="inlineStr">
        <is>
          <t>VARBERG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15260-2024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46222</v>
      </c>
      <c r="F352" t="inlineStr">
        <is>
          <t>HALLANDS LÄN</t>
        </is>
      </c>
      <c r="G352" t="inlineStr">
        <is>
          <t>VARBERG</t>
        </is>
      </c>
      <c r="H352" t="inlineStr">
        <is>
          <t>Kyrkan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10186-2022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46222</v>
      </c>
      <c r="F353" t="inlineStr">
        <is>
          <t>HALLANDS LÄN</t>
        </is>
      </c>
      <c r="G353" t="inlineStr">
        <is>
          <t>VARBERG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9819-2022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44620</v>
      </c>
      <c r="E354" s="1" t="n">
        <v>46222</v>
      </c>
      <c r="F354" t="inlineStr">
        <is>
          <t>HALLANDS LÄN</t>
        </is>
      </c>
      <c r="G354" t="inlineStr">
        <is>
          <t>VARBERG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15067-2022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44657</v>
      </c>
      <c r="E355" s="1" t="n">
        <v>46222</v>
      </c>
      <c r="F355" t="inlineStr">
        <is>
          <t>HALLANDS LÄN</t>
        </is>
      </c>
      <c r="G355" t="inlineStr">
        <is>
          <t>VARBERG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37875-2025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46222</v>
      </c>
      <c r="F356" t="inlineStr">
        <is>
          <t>HALLANDS LÄN</t>
        </is>
      </c>
      <c r="G356" t="inlineStr">
        <is>
          <t>VARBERG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57557-2022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46222</v>
      </c>
      <c r="F357" t="inlineStr">
        <is>
          <t>HALLANDS LÄN</t>
        </is>
      </c>
      <c r="G357" t="inlineStr">
        <is>
          <t>VARBERG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51535-2023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46222</v>
      </c>
      <c r="F358" t="inlineStr">
        <is>
          <t>HALLANDS LÄN</t>
        </is>
      </c>
      <c r="G358" t="inlineStr">
        <is>
          <t>VARBERG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54248-2021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46222</v>
      </c>
      <c r="F359" t="inlineStr">
        <is>
          <t>HALLANDS LÄN</t>
        </is>
      </c>
      <c r="G359" t="inlineStr">
        <is>
          <t>VARBERG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15844-2024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45404</v>
      </c>
      <c r="E360" s="1" t="n">
        <v>46222</v>
      </c>
      <c r="F360" t="inlineStr">
        <is>
          <t>HALLANDS LÄN</t>
        </is>
      </c>
      <c r="G360" t="inlineStr">
        <is>
          <t>VARBERG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48019-2022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44855</v>
      </c>
      <c r="E361" s="1" t="n">
        <v>46222</v>
      </c>
      <c r="F361" t="inlineStr">
        <is>
          <t>HALLANDS LÄN</t>
        </is>
      </c>
      <c r="G361" t="inlineStr">
        <is>
          <t>VARBERG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45302</v>
      </c>
      <c r="E362" s="1" t="n">
        <v>46222</v>
      </c>
      <c r="F362" t="inlineStr">
        <is>
          <t>HALLANDS LÄN</t>
        </is>
      </c>
      <c r="G362" t="inlineStr">
        <is>
          <t>VARBERG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31198-2022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44770</v>
      </c>
      <c r="E363" s="1" t="n">
        <v>46222</v>
      </c>
      <c r="F363" t="inlineStr">
        <is>
          <t>HALLANDS LÄN</t>
        </is>
      </c>
      <c r="G363" t="inlineStr">
        <is>
          <t>VARBERG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46222</v>
      </c>
      <c r="F364" t="inlineStr">
        <is>
          <t>HALLANDS LÄN</t>
        </is>
      </c>
      <c r="G364" t="inlineStr">
        <is>
          <t>VARBERG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59297-2022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44904</v>
      </c>
      <c r="E365" s="1" t="n">
        <v>46222</v>
      </c>
      <c r="F365" t="inlineStr">
        <is>
          <t>HALLANDS LÄN</t>
        </is>
      </c>
      <c r="G365" t="inlineStr">
        <is>
          <t>VARBERG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46222</v>
      </c>
      <c r="F366" t="inlineStr">
        <is>
          <t>HALLANDS LÄN</t>
        </is>
      </c>
      <c r="G366" t="inlineStr">
        <is>
          <t>VARBERG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34558-2023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46222</v>
      </c>
      <c r="F367" t="inlineStr">
        <is>
          <t>HALLANDS LÄN</t>
        </is>
      </c>
      <c r="G367" t="inlineStr">
        <is>
          <t>VARBERG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37223-2023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46222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46222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46222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10693-2025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45722</v>
      </c>
      <c r="E371" s="1" t="n">
        <v>46222</v>
      </c>
      <c r="F371" t="inlineStr">
        <is>
          <t>HALLANDS LÄN</t>
        </is>
      </c>
      <c r="G371" t="inlineStr">
        <is>
          <t>VARBERG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46222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48006-2025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46222</v>
      </c>
      <c r="F373" t="inlineStr">
        <is>
          <t>HALLANDS LÄN</t>
        </is>
      </c>
      <c r="G373" t="inlineStr">
        <is>
          <t>VARBERG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23167-2026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46222</v>
      </c>
      <c r="F374" t="inlineStr">
        <is>
          <t>HALLANDS LÄN</t>
        </is>
      </c>
      <c r="G374" t="inlineStr">
        <is>
          <t>VARBERG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28851-2026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46222</v>
      </c>
      <c r="F375" t="inlineStr">
        <is>
          <t>HALLANDS LÄN</t>
        </is>
      </c>
      <c r="G375" t="inlineStr">
        <is>
          <t>VARBERG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35140-2022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44797</v>
      </c>
      <c r="E376" s="1" t="n">
        <v>46222</v>
      </c>
      <c r="F376" t="inlineStr">
        <is>
          <t>HALLANDS LÄN</t>
        </is>
      </c>
      <c r="G376" t="inlineStr">
        <is>
          <t>VARBERG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23192-2026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46222</v>
      </c>
      <c r="F377" t="inlineStr">
        <is>
          <t>HALLANDS LÄN</t>
        </is>
      </c>
      <c r="G377" t="inlineStr">
        <is>
          <t>VARBERG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23165-2026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46222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9519-2023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46222</v>
      </c>
      <c r="F379" t="inlineStr">
        <is>
          <t>HALLANDS LÄN</t>
        </is>
      </c>
      <c r="G379" t="inlineStr">
        <is>
          <t>VARBERG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45974-2021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44441</v>
      </c>
      <c r="E380" s="1" t="n">
        <v>46222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29709-2026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46222</v>
      </c>
      <c r="F381" t="inlineStr">
        <is>
          <t>HALLANDS LÄN</t>
        </is>
      </c>
      <c r="G381" t="inlineStr">
        <is>
          <t>VARBERG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46581-2024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46222</v>
      </c>
      <c r="F382" t="inlineStr">
        <is>
          <t>HALLANDS LÄN</t>
        </is>
      </c>
      <c r="G382" t="inlineStr">
        <is>
          <t>VARBERG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44722</v>
      </c>
      <c r="E383" s="1" t="n">
        <v>46222</v>
      </c>
      <c r="F383" t="inlineStr">
        <is>
          <t>HALLANDS LÄN</t>
        </is>
      </c>
      <c r="G383" t="inlineStr">
        <is>
          <t>VARBERG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28855-2022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44749</v>
      </c>
      <c r="E384" s="1" t="n">
        <v>46222</v>
      </c>
      <c r="F384" t="inlineStr">
        <is>
          <t>HALLANDS LÄN</t>
        </is>
      </c>
      <c r="G384" t="inlineStr">
        <is>
          <t>VARBERG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23641-2026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46164</v>
      </c>
      <c r="E385" s="1" t="n">
        <v>46222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10940-2022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46222</v>
      </c>
      <c r="F386" t="inlineStr">
        <is>
          <t>HALLANDS LÄN</t>
        </is>
      </c>
      <c r="G386" t="inlineStr">
        <is>
          <t>VARBERG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23640-2026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46164</v>
      </c>
      <c r="E387" s="1" t="n">
        <v>46222</v>
      </c>
      <c r="F387" t="inlineStr">
        <is>
          <t>HALLANDS LÄN</t>
        </is>
      </c>
      <c r="G387" t="inlineStr">
        <is>
          <t>VARBERG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9514-2023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44981</v>
      </c>
      <c r="E388" s="1" t="n">
        <v>46222</v>
      </c>
      <c r="F388" t="inlineStr">
        <is>
          <t>HALLANDS LÄN</t>
        </is>
      </c>
      <c r="G388" t="inlineStr">
        <is>
          <t>VARBERG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64488-2021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44511</v>
      </c>
      <c r="E389" s="1" t="n">
        <v>46222</v>
      </c>
      <c r="F389" t="inlineStr">
        <is>
          <t>HALLANDS LÄN</t>
        </is>
      </c>
      <c r="G389" t="inlineStr">
        <is>
          <t>VARBERG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26496-2024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46222</v>
      </c>
      <c r="F390" t="inlineStr">
        <is>
          <t>HALLANDS LÄN</t>
        </is>
      </c>
      <c r="G390" t="inlineStr">
        <is>
          <t>VARBERG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27655-2026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46222</v>
      </c>
      <c r="F391" t="inlineStr">
        <is>
          <t>HALLANDS LÄN</t>
        </is>
      </c>
      <c r="G391" t="inlineStr">
        <is>
          <t>VARBERG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46222</v>
      </c>
      <c r="F392" t="inlineStr">
        <is>
          <t>HALLANDS LÄN</t>
        </is>
      </c>
      <c r="G392" t="inlineStr">
        <is>
          <t>VARBERG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48453-2024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45590</v>
      </c>
      <c r="E393" s="1" t="n">
        <v>46222</v>
      </c>
      <c r="F393" t="inlineStr">
        <is>
          <t>HALLANDS LÄN</t>
        </is>
      </c>
      <c r="G393" t="inlineStr">
        <is>
          <t>VARBERG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45987-2024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45580</v>
      </c>
      <c r="E394" s="1" t="n">
        <v>46222</v>
      </c>
      <c r="F394" t="inlineStr">
        <is>
          <t>HALLANDS LÄN</t>
        </is>
      </c>
      <c r="G394" t="inlineStr">
        <is>
          <t>VARBERG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30525-2026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46222</v>
      </c>
      <c r="F395" t="inlineStr">
        <is>
          <t>HALLANDS LÄN</t>
        </is>
      </c>
      <c r="G395" t="inlineStr">
        <is>
          <t>VARBERG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15315-2022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44659</v>
      </c>
      <c r="E396" s="1" t="n">
        <v>46222</v>
      </c>
      <c r="F396" t="inlineStr">
        <is>
          <t>HALLANDS LÄN</t>
        </is>
      </c>
      <c r="G396" t="inlineStr">
        <is>
          <t>VARBERG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44441-2024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46222</v>
      </c>
      <c r="F397" t="inlineStr">
        <is>
          <t>HALLANDS LÄN</t>
        </is>
      </c>
      <c r="G397" t="inlineStr">
        <is>
          <t>VARBERG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20647-2023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46222</v>
      </c>
      <c r="F398" t="inlineStr">
        <is>
          <t>HALLANDS LÄN</t>
        </is>
      </c>
      <c r="G398" t="inlineStr">
        <is>
          <t>VARBERG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18329-2025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46222</v>
      </c>
      <c r="F399" t="inlineStr">
        <is>
          <t>HALLANDS LÄN</t>
        </is>
      </c>
      <c r="G399" t="inlineStr">
        <is>
          <t>VARBERG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24041-2026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46222</v>
      </c>
      <c r="F400" t="inlineStr">
        <is>
          <t>HALLANDS LÄN</t>
        </is>
      </c>
      <c r="G400" t="inlineStr">
        <is>
          <t>VARBERG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47478-2024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45587</v>
      </c>
      <c r="E401" s="1" t="n">
        <v>46222</v>
      </c>
      <c r="F401" t="inlineStr">
        <is>
          <t>HALLANDS LÄN</t>
        </is>
      </c>
      <c r="G401" t="inlineStr">
        <is>
          <t>VARBERG</t>
        </is>
      </c>
      <c r="H401" t="inlineStr">
        <is>
          <t>Kyrkan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27615-2026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46222</v>
      </c>
      <c r="F402" t="inlineStr">
        <is>
          <t>HALLANDS LÄN</t>
        </is>
      </c>
      <c r="G402" t="inlineStr">
        <is>
          <t>VARBERG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46222</v>
      </c>
      <c r="F403" t="inlineStr">
        <is>
          <t>HALLANDS LÄN</t>
        </is>
      </c>
      <c r="G403" t="inlineStr">
        <is>
          <t>VARBERG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30577-2026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46222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25830-2023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46222</v>
      </c>
      <c r="F405" t="inlineStr">
        <is>
          <t>HALLANDS LÄN</t>
        </is>
      </c>
      <c r="G405" t="inlineStr">
        <is>
          <t>VARBERG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46222</v>
      </c>
      <c r="F406" t="inlineStr">
        <is>
          <t>HALLANDS LÄN</t>
        </is>
      </c>
      <c r="G406" t="inlineStr">
        <is>
          <t>VARBERG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45302</v>
      </c>
      <c r="E407" s="1" t="n">
        <v>46222</v>
      </c>
      <c r="F407" t="inlineStr">
        <is>
          <t>HALLANDS LÄN</t>
        </is>
      </c>
      <c r="G407" t="inlineStr">
        <is>
          <t>VARBERG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12743-2022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44641</v>
      </c>
      <c r="E408" s="1" t="n">
        <v>46222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58746-2024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45635</v>
      </c>
      <c r="E409" s="1" t="n">
        <v>46222</v>
      </c>
      <c r="F409" t="inlineStr">
        <is>
          <t>HALLANDS LÄN</t>
        </is>
      </c>
      <c r="G409" t="inlineStr">
        <is>
          <t>VARBERG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46222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30566-2026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46222</v>
      </c>
      <c r="F411" t="inlineStr">
        <is>
          <t>HALLANDS LÄN</t>
        </is>
      </c>
      <c r="G411" t="inlineStr">
        <is>
          <t>VARBERG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46222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37065-2024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45539</v>
      </c>
      <c r="E413" s="1" t="n">
        <v>46222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25253-2026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46175</v>
      </c>
      <c r="E414" s="1" t="n">
        <v>46222</v>
      </c>
      <c r="F414" t="inlineStr">
        <is>
          <t>HALLANDS LÄN</t>
        </is>
      </c>
      <c r="G414" t="inlineStr">
        <is>
          <t>VARBERG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25255-2026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46222</v>
      </c>
      <c r="F415" t="inlineStr">
        <is>
          <t>HALLANDS LÄN</t>
        </is>
      </c>
      <c r="G415" t="inlineStr">
        <is>
          <t>VARBERG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25025-2026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46222</v>
      </c>
      <c r="F416" t="inlineStr">
        <is>
          <t>HALLANDS LÄN</t>
        </is>
      </c>
      <c r="G416" t="inlineStr">
        <is>
          <t>VARBERG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52975-2022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44875</v>
      </c>
      <c r="E417" s="1" t="n">
        <v>46222</v>
      </c>
      <c r="F417" t="inlineStr">
        <is>
          <t>HALLANDS LÄN</t>
        </is>
      </c>
      <c r="G417" t="inlineStr">
        <is>
          <t>VARBERG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52283-2023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45224</v>
      </c>
      <c r="E418" s="1" t="n">
        <v>46222</v>
      </c>
      <c r="F418" t="inlineStr">
        <is>
          <t>HALLANDS LÄN</t>
        </is>
      </c>
      <c r="G418" t="inlineStr">
        <is>
          <t>VARBERG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14312-2022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46222</v>
      </c>
      <c r="F419" t="inlineStr">
        <is>
          <t>HALLANDS LÄN</t>
        </is>
      </c>
      <c r="G419" t="inlineStr">
        <is>
          <t>VARBERG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24996-2026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46222</v>
      </c>
      <c r="F420" t="inlineStr">
        <is>
          <t>HALLANDS LÄN</t>
        </is>
      </c>
      <c r="G420" t="inlineStr">
        <is>
          <t>VARBERG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18460-2025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46222</v>
      </c>
      <c r="F421" t="inlineStr">
        <is>
          <t>HALLANDS LÄN</t>
        </is>
      </c>
      <c r="G421" t="inlineStr">
        <is>
          <t>VARBERG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19375-2025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46222</v>
      </c>
      <c r="F422" t="inlineStr">
        <is>
          <t>HALLANDS LÄN</t>
        </is>
      </c>
      <c r="G422" t="inlineStr">
        <is>
          <t>VARBERG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46222</v>
      </c>
      <c r="F423" t="inlineStr">
        <is>
          <t>HALLANDS LÄN</t>
        </is>
      </c>
      <c r="G423" t="inlineStr">
        <is>
          <t>VARBERG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46222</v>
      </c>
      <c r="F424" t="inlineStr">
        <is>
          <t>HALLANDS LÄN</t>
        </is>
      </c>
      <c r="G424" t="inlineStr">
        <is>
          <t>VARBERG</t>
        </is>
      </c>
      <c r="H424" t="inlineStr">
        <is>
          <t>Kyrkan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967-2023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46222</v>
      </c>
      <c r="F425" t="inlineStr">
        <is>
          <t>HALLANDS LÄN</t>
        </is>
      </c>
      <c r="G425" t="inlineStr">
        <is>
          <t>VARBERG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20702-2024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46222</v>
      </c>
      <c r="F426" t="inlineStr">
        <is>
          <t>HALLANDS LÄN</t>
        </is>
      </c>
      <c r="G426" t="inlineStr">
        <is>
          <t>VARBERG</t>
        </is>
      </c>
      <c r="H426" t="inlineStr">
        <is>
          <t>Kyrkan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20624-2026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46141</v>
      </c>
      <c r="E427" s="1" t="n">
        <v>46222</v>
      </c>
      <c r="F427" t="inlineStr">
        <is>
          <t>HALLANDS LÄN</t>
        </is>
      </c>
      <c r="G427" t="inlineStr">
        <is>
          <t>VARBERG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13600-2025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45736</v>
      </c>
      <c r="E428" s="1" t="n">
        <v>46222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37971-2022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46222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43681-2022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46222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24227-2024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46222</v>
      </c>
      <c r="F431" t="inlineStr">
        <is>
          <t>HALLANDS LÄN</t>
        </is>
      </c>
      <c r="G431" t="inlineStr">
        <is>
          <t>VARBERG</t>
        </is>
      </c>
      <c r="H431" t="inlineStr">
        <is>
          <t>Kyrkan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35506-2024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46222</v>
      </c>
      <c r="F432" t="inlineStr">
        <is>
          <t>HALLANDS LÄN</t>
        </is>
      </c>
      <c r="G432" t="inlineStr">
        <is>
          <t>VARBERG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10169-2024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45364</v>
      </c>
      <c r="E433" s="1" t="n">
        <v>46222</v>
      </c>
      <c r="F433" t="inlineStr">
        <is>
          <t>HALLANDS LÄN</t>
        </is>
      </c>
      <c r="G433" t="inlineStr">
        <is>
          <t>VARBERG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10170-2024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46222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45300</v>
      </c>
      <c r="E435" s="1" t="n">
        <v>46222</v>
      </c>
      <c r="F435" t="inlineStr">
        <is>
          <t>HALLANDS LÄN</t>
        </is>
      </c>
      <c r="G435" t="inlineStr">
        <is>
          <t>VARBERG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10700-2025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46222</v>
      </c>
      <c r="F436" t="inlineStr">
        <is>
          <t>HALLANDS LÄN</t>
        </is>
      </c>
      <c r="G436" t="inlineStr">
        <is>
          <t>VARBERG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14303-2025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46222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13717-2025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46222</v>
      </c>
      <c r="F438" t="inlineStr">
        <is>
          <t>HALLANDS LÄN</t>
        </is>
      </c>
      <c r="G438" t="inlineStr">
        <is>
          <t>VARBERG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6647-2024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46222</v>
      </c>
      <c r="F439" t="inlineStr">
        <is>
          <t>HALLANDS LÄN</t>
        </is>
      </c>
      <c r="G439" t="inlineStr">
        <is>
          <t>VARBERG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15914-2025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45749</v>
      </c>
      <c r="E440" s="1" t="n">
        <v>46222</v>
      </c>
      <c r="F440" t="inlineStr">
        <is>
          <t>HALLANDS LÄN</t>
        </is>
      </c>
      <c r="G440" t="inlineStr">
        <is>
          <t>VARBERG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9741-2025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46222</v>
      </c>
      <c r="F441" t="inlineStr">
        <is>
          <t>HALLANDS LÄN</t>
        </is>
      </c>
      <c r="G441" t="inlineStr">
        <is>
          <t>VARBERG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16739-2025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46222</v>
      </c>
      <c r="F442" t="inlineStr">
        <is>
          <t>HALLANDS LÄN</t>
        </is>
      </c>
      <c r="G442" t="inlineStr">
        <is>
          <t>VARBERG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44740-2023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46222</v>
      </c>
      <c r="F443" t="inlineStr">
        <is>
          <t>HALLANDS LÄN</t>
        </is>
      </c>
      <c r="G443" t="inlineStr">
        <is>
          <t>VARBERG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46222</v>
      </c>
      <c r="F444" t="inlineStr">
        <is>
          <t>HALLANDS LÄN</t>
        </is>
      </c>
      <c r="G444" t="inlineStr">
        <is>
          <t>VARBERG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23366-2025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46222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46222</v>
      </c>
      <c r="F446" t="inlineStr">
        <is>
          <t>HALLANDS LÄN</t>
        </is>
      </c>
      <c r="G446" t="inlineStr">
        <is>
          <t>VARBERG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23365-2025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46222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46222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44793-2024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46222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23359-2025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46222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20045-2024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46222</v>
      </c>
      <c r="F451" t="inlineStr">
        <is>
          <t>HALLANDS LÄN</t>
        </is>
      </c>
      <c r="G451" t="inlineStr">
        <is>
          <t>VARBERG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46222</v>
      </c>
      <c r="F452" t="inlineStr">
        <is>
          <t>HALLANDS LÄN</t>
        </is>
      </c>
      <c r="G452" t="inlineStr">
        <is>
          <t>VARBERG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25872-2025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46222</v>
      </c>
      <c r="F453" t="inlineStr">
        <is>
          <t>HALLANDS LÄN</t>
        </is>
      </c>
      <c r="G453" t="inlineStr">
        <is>
          <t>VARBERG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46222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46222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46222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46222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46222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46222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46222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46222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46222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46222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46222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46222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46222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46222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46222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46222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46222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46222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46222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2026-07-19T01:33:35Z</dcterms:created>
  <dcterms:modified xmlns:dcterms="http://purl.org/dc/terms/" xmlns:xsi="http://www.w3.org/2001/XMLSchema-instance" xsi:type="dcterms:W3CDTF">2026-07-19T01:33:36Z</dcterms:modified>
</cp:coreProperties>
</file>