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46283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46283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46283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46283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46283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46283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46283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46283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46283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46283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46283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49083-2022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44860</v>
      </c>
      <c r="E19" s="1" t="n">
        <v>46283</v>
      </c>
      <c r="F19" t="inlineStr">
        <is>
          <t>HALLANDS LÄN</t>
        </is>
      </c>
      <c r="G19" t="inlineStr">
        <is>
          <t>VARBERG</t>
        </is>
      </c>
      <c r="I19" t="n">
        <v>13.3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Kambräken</t>
        </is>
      </c>
      <c r="W19">
        <f>HYPERLINK("https://klasma.github.io/Logging_1383/artfynd/A 49083-2022 artfynd.xlsx", "A 49083-2022")</f>
        <v/>
      </c>
      <c r="X19">
        <f>HYPERLINK("https://klasma.github.io/Logging_1383/kartor/A 49083-2022 karta.png", "A 49083-2022")</f>
        <v/>
      </c>
      <c r="Y19">
        <f>HYPERLINK("https://klasma.github.io/Logging_1383/kartor_geotiff/A 49083-2022 georefererad karta.tif", "A 49083-2022")</f>
        <v/>
      </c>
      <c r="AA19">
        <f>HYPERLINK("https://klasma.github.io/Logging_1383/klagomål/A 49083-2022 FSC-klagomål.docx", "A 49083-2022")</f>
        <v/>
      </c>
      <c r="AB19">
        <f>HYPERLINK("https://klasma.github.io/Logging_1383/klagomålsmail/A 49083-2022 FSC-klagomål mail.docx", "A 49083-2022")</f>
        <v/>
      </c>
      <c r="AC19">
        <f>HYPERLINK("https://klasma.github.io/Logging_1383/tillsyn/A 49083-2022 tillsynsbegäran.docx", "A 49083-2022")</f>
        <v/>
      </c>
      <c r="AD19">
        <f>HYPERLINK("https://klasma.github.io/Logging_1383/tillsynsmail/A 49083-2022 tillsynsbegäran mail.docx", "A 49083-2022")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46283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46283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46283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46737-2023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45198</v>
      </c>
      <c r="E23" s="1" t="n">
        <v>46283</v>
      </c>
      <c r="F23" t="inlineStr">
        <is>
          <t>HALLANDS LÄN</t>
        </is>
      </c>
      <c r="G23" t="inlineStr">
        <is>
          <t>VARBERG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HYPERLINK("https://klasma.github.io/Logging_1383/artfynd/A 46737-2023 artfynd.xlsx", "A 46737-2023")</f>
        <v/>
      </c>
      <c r="X23">
        <f>HYPERLINK("https://klasma.github.io/Logging_1383/kartor/A 46737-2023 karta.png", "A 46737-2023")</f>
        <v/>
      </c>
      <c r="Y23">
        <f>HYPERLINK("https://klasma.github.io/Logging_1383/kartor_geotiff/A 46737-2023 georefererad karta.tif", "A 46737-2023")</f>
        <v/>
      </c>
      <c r="AA23">
        <f>HYPERLINK("https://klasma.github.io/Logging_1383/klagomål/A 46737-2023 FSC-klagomål.docx", "A 46737-2023")</f>
        <v/>
      </c>
      <c r="AB23">
        <f>HYPERLINK("https://klasma.github.io/Logging_1383/klagomålsmail/A 46737-2023 FSC-klagomål mail.docx", "A 46737-2023")</f>
        <v/>
      </c>
      <c r="AC23">
        <f>HYPERLINK("https://klasma.github.io/Logging_1383/tillsyn/A 46737-2023 tillsynsbegäran.docx", "A 46737-2023")</f>
        <v/>
      </c>
      <c r="AD23">
        <f>HYPERLINK("https://klasma.github.io/Logging_1383/tillsynsmail/A 46737-2023 tillsynsbegäran mail.docx", "A 46737-2023")</f>
        <v/>
      </c>
    </row>
    <row r="24" ht="15" customHeight="1">
      <c r="A24" t="inlineStr">
        <is>
          <t>A 33144-2025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46283</v>
      </c>
      <c r="F24" t="inlineStr">
        <is>
          <t>HALLANDS LÄN</t>
        </is>
      </c>
      <c r="G24" t="inlineStr">
        <is>
          <t>VARBERG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HYPERLINK("https://klasma.github.io/Logging_1383/artfynd/A 33144-2025 artfynd.xlsx", "A 33144-2025")</f>
        <v/>
      </c>
      <c r="X24">
        <f>HYPERLINK("https://klasma.github.io/Logging_1383/kartor/A 33144-2025 karta.png", "A 33144-2025")</f>
        <v/>
      </c>
      <c r="Y24">
        <f>HYPERLINK("https://klasma.github.io/Logging_1383/kartor_geotiff/A 33144-2025 georefererad karta.tif", "A 33144-2025")</f>
        <v/>
      </c>
      <c r="AA24">
        <f>HYPERLINK("https://klasma.github.io/Logging_1383/klagomål/A 33144-2025 FSC-klagomål.docx", "A 33144-2025")</f>
        <v/>
      </c>
      <c r="AB24">
        <f>HYPERLINK("https://klasma.github.io/Logging_1383/klagomålsmail/A 33144-2025 FSC-klagomål mail.docx", "A 33144-2025")</f>
        <v/>
      </c>
      <c r="AC24">
        <f>HYPERLINK("https://klasma.github.io/Logging_1383/tillsyn/A 33144-2025 tillsynsbegäran.docx", "A 33144-2025")</f>
        <v/>
      </c>
      <c r="AD24">
        <f>HYPERLINK("https://klasma.github.io/Logging_1383/tillsynsmail/A 33144-2025 tillsynsbegäran mail.docx", "A 33144-2025")</f>
        <v/>
      </c>
      <c r="AE24">
        <f>HYPERLINK("https://klasma.github.io/Logging_1383/fåglar/A 33144-2025 prioriterade fågelarter.docx", "A 33144-2025")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46283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46283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46283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46283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25055-2026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46283</v>
      </c>
      <c r="F29" t="inlineStr">
        <is>
          <t>HALLANDS LÄN</t>
        </is>
      </c>
      <c r="G29" t="inlineStr">
        <is>
          <t>VARBERG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25055-2026 artfynd.xlsx", "A 25055-2026")</f>
        <v/>
      </c>
      <c r="X29">
        <f>HYPERLINK("https://klasma.github.io/Logging_1383/kartor/A 25055-2026 karta.png", "A 25055-2026")</f>
        <v/>
      </c>
      <c r="Y29">
        <f>HYPERLINK("https://klasma.github.io/Logging_1383/kartor_geotiff/A 25055-2026 georefererad karta.tif", "A 25055-2026")</f>
        <v/>
      </c>
      <c r="AA29">
        <f>HYPERLINK("https://klasma.github.io/Logging_1383/klagomål/A 25055-2026 FSC-klagomål.docx", "A 25055-2026")</f>
        <v/>
      </c>
      <c r="AB29">
        <f>HYPERLINK("https://klasma.github.io/Logging_1383/klagomålsmail/A 25055-2026 FSC-klagomål mail.docx", "A 25055-2026")</f>
        <v/>
      </c>
      <c r="AC29">
        <f>HYPERLINK("https://klasma.github.io/Logging_1383/tillsyn/A 25055-2026 tillsynsbegäran.docx", "A 25055-2026")</f>
        <v/>
      </c>
      <c r="AD29">
        <f>HYPERLINK("https://klasma.github.io/Logging_1383/tillsynsmail/A 25055-2026 tillsynsbegäran mail.docx", "A 25055-2026")</f>
        <v/>
      </c>
    </row>
    <row r="30" ht="15" customHeight="1">
      <c r="A30" t="inlineStr">
        <is>
          <t>A 27103-2026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46283</v>
      </c>
      <c r="F30" t="inlineStr">
        <is>
          <t>HALLANDS LÄN</t>
        </is>
      </c>
      <c r="G30" t="inlineStr">
        <is>
          <t>VARBERG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27103-2026 artfynd.xlsx", "A 27103-2026")</f>
        <v/>
      </c>
      <c r="X30">
        <f>HYPERLINK("https://klasma.github.io/Logging_1383/kartor/A 27103-2026 karta.png", "A 27103-2026")</f>
        <v/>
      </c>
      <c r="Y30">
        <f>HYPERLINK("https://klasma.github.io/Logging_1383/kartor_geotiff/A 27103-2026 georefererad karta.tif", "A 27103-2026")</f>
        <v/>
      </c>
      <c r="AA30">
        <f>HYPERLINK("https://klasma.github.io/Logging_1383/klagomål/A 27103-2026 FSC-klagomål.docx", "A 27103-2026")</f>
        <v/>
      </c>
      <c r="AB30">
        <f>HYPERLINK("https://klasma.github.io/Logging_1383/klagomålsmail/A 27103-2026 FSC-klagomål mail.docx", "A 27103-2026")</f>
        <v/>
      </c>
      <c r="AC30">
        <f>HYPERLINK("https://klasma.github.io/Logging_1383/tillsyn/A 27103-2026 tillsynsbegäran.docx", "A 27103-2026")</f>
        <v/>
      </c>
      <c r="AD30">
        <f>HYPERLINK("https://klasma.github.io/Logging_1383/tillsynsmail/A 27103-2026 tillsynsbegäran mail.docx", "A 27103-2026")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46283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10751-2025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46283</v>
      </c>
      <c r="F32" t="inlineStr">
        <is>
          <t>HALLANDS LÄN</t>
        </is>
      </c>
      <c r="G32" t="inlineStr">
        <is>
          <t>VARBERG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HYPERLINK("https://klasma.github.io/Logging_1383/artfynd/A 10751-2025 artfynd.xlsx", "A 10751-2025")</f>
        <v/>
      </c>
      <c r="X32">
        <f>HYPERLINK("https://klasma.github.io/Logging_1383/kartor/A 10751-2025 karta.png", "A 10751-2025")</f>
        <v/>
      </c>
      <c r="Y32">
        <f>HYPERLINK("https://klasma.github.io/Logging_1383/kartor_geotiff/A 10751-2025 georefererad karta.tif", "A 10751-2025")</f>
        <v/>
      </c>
      <c r="AA32">
        <f>HYPERLINK("https://klasma.github.io/Logging_1383/klagomål/A 10751-2025 FSC-klagomål.docx", "A 10751-2025")</f>
        <v/>
      </c>
      <c r="AB32">
        <f>HYPERLINK("https://klasma.github.io/Logging_1383/klagomålsmail/A 10751-2025 FSC-klagomål mail.docx", "A 10751-2025")</f>
        <v/>
      </c>
      <c r="AC32">
        <f>HYPERLINK("https://klasma.github.io/Logging_1383/tillsyn/A 10751-2025 tillsynsbegäran.docx", "A 10751-2025")</f>
        <v/>
      </c>
      <c r="AD32">
        <f>HYPERLINK("https://klasma.github.io/Logging_1383/tillsynsmail/A 10751-2025 tillsynsbegäran mail.docx", "A 10751-2025")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46283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46283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58679-2023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46283</v>
      </c>
      <c r="F35" t="inlineStr">
        <is>
          <t>HALLANDS LÄN</t>
        </is>
      </c>
      <c r="G35" t="inlineStr">
        <is>
          <t>VARBERG</t>
        </is>
      </c>
      <c r="I35" t="n">
        <v>7.8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58679-2023 artfynd.xlsx", "A 58679-2023")</f>
        <v/>
      </c>
      <c r="X35">
        <f>HYPERLINK("https://klasma.github.io/Logging_1383/kartor/A 58679-2023 karta.png", "A 58679-2023")</f>
        <v/>
      </c>
      <c r="Y35">
        <f>HYPERLINK("https://klasma.github.io/Logging_1383/kartor_geotiff/A 58679-2023 georefererad karta.tif", "A 58679-2023")</f>
        <v/>
      </c>
      <c r="AA35">
        <f>HYPERLINK("https://klasma.github.io/Logging_1383/klagomål/A 58679-2023 FSC-klagomål.docx", "A 58679-2023")</f>
        <v/>
      </c>
      <c r="AB35">
        <f>HYPERLINK("https://klasma.github.io/Logging_1383/klagomålsmail/A 58679-2023 FSC-klagomål mail.docx", "A 58679-2023")</f>
        <v/>
      </c>
      <c r="AC35">
        <f>HYPERLINK("https://klasma.github.io/Logging_1383/tillsyn/A 58679-2023 tillsynsbegäran.docx", "A 58679-2023")</f>
        <v/>
      </c>
      <c r="AD35">
        <f>HYPERLINK("https://klasma.github.io/Logging_1383/tillsynsmail/A 58679-2023 tillsynsbegäran mail.docx", "A 58679-2023")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46283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53915-2021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46283</v>
      </c>
      <c r="F37" t="inlineStr">
        <is>
          <t>HALLANDS LÄN</t>
        </is>
      </c>
      <c r="G37" t="inlineStr">
        <is>
          <t>VARBERG</t>
        </is>
      </c>
      <c r="I37" t="n">
        <v>0.9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Entita</t>
        </is>
      </c>
      <c r="W37">
        <f>HYPERLINK("https://klasma.github.io/Logging_1383/artfynd/A 53915-2021 artfynd.xlsx", "A 53915-2021")</f>
        <v/>
      </c>
      <c r="X37">
        <f>HYPERLINK("https://klasma.github.io/Logging_1383/kartor/A 53915-2021 karta.png", "A 53915-2021")</f>
        <v/>
      </c>
      <c r="Y37">
        <f>HYPERLINK("https://klasma.github.io/Logging_1383/kartor_geotiff/A 53915-2021 georefererad karta.tif", "A 53915-2021")</f>
        <v/>
      </c>
      <c r="AA37">
        <f>HYPERLINK("https://klasma.github.io/Logging_1383/klagomål/A 53915-2021 FSC-klagomål.docx", "A 53915-2021")</f>
        <v/>
      </c>
      <c r="AB37">
        <f>HYPERLINK("https://klasma.github.io/Logging_1383/klagomålsmail/A 53915-2021 FSC-klagomål mail.docx", "A 53915-2021")</f>
        <v/>
      </c>
      <c r="AC37">
        <f>HYPERLINK("https://klasma.github.io/Logging_1383/tillsyn/A 53915-2021 tillsynsbegäran.docx", "A 53915-2021")</f>
        <v/>
      </c>
      <c r="AD37">
        <f>HYPERLINK("https://klasma.github.io/Logging_1383/tillsynsmail/A 53915-2021 tillsynsbegäran mail.docx", "A 53915-2021")</f>
        <v/>
      </c>
      <c r="AE37">
        <f>HYPERLINK("https://klasma.github.io/Logging_1383/fåglar/A 53915-2021 prioriterade fågelarter.docx", "A 53915-2021")</f>
        <v/>
      </c>
    </row>
    <row r="38" ht="15" customHeight="1">
      <c r="A38" t="inlineStr">
        <is>
          <t>A 3481-2025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46283</v>
      </c>
      <c r="F38" t="inlineStr">
        <is>
          <t>HALLANDS LÄN</t>
        </is>
      </c>
      <c r="G38" t="inlineStr">
        <is>
          <t>VARBERG</t>
        </is>
      </c>
      <c r="I38" t="n">
        <v>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Bivråk</t>
        </is>
      </c>
      <c r="W38">
        <f>HYPERLINK("https://klasma.github.io/Logging_1383/artfynd/A 3481-2025 artfynd.xlsx", "A 3481-2025")</f>
        <v/>
      </c>
      <c r="X38">
        <f>HYPERLINK("https://klasma.github.io/Logging_1383/kartor/A 3481-2025 karta.png", "A 3481-2025")</f>
        <v/>
      </c>
      <c r="Y38">
        <f>HYPERLINK("https://klasma.github.io/Logging_1383/kartor_geotiff/A 3481-2025 georefererad karta.tif", "A 3481-2025")</f>
        <v/>
      </c>
      <c r="AA38">
        <f>HYPERLINK("https://klasma.github.io/Logging_1383/klagomål/A 3481-2025 FSC-klagomål.docx", "A 3481-2025")</f>
        <v/>
      </c>
      <c r="AB38">
        <f>HYPERLINK("https://klasma.github.io/Logging_1383/klagomålsmail/A 3481-2025 FSC-klagomål mail.docx", "A 3481-2025")</f>
        <v/>
      </c>
      <c r="AC38">
        <f>HYPERLINK("https://klasma.github.io/Logging_1383/tillsyn/A 3481-2025 tillsynsbegäran.docx", "A 3481-2025")</f>
        <v/>
      </c>
      <c r="AD38">
        <f>HYPERLINK("https://klasma.github.io/Logging_1383/tillsynsmail/A 3481-2025 tillsynsbegäran mail.docx", "A 3481-2025")</f>
        <v/>
      </c>
      <c r="AE38">
        <f>HYPERLINK("https://klasma.github.io/Logging_1383/fåglar/A 3481-2025 prioriterade fågelarter.docx", "A 3481-2025")</f>
        <v/>
      </c>
    </row>
    <row r="39" ht="15" customHeight="1">
      <c r="A39" t="inlineStr">
        <is>
          <t>A 20045-2024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45434</v>
      </c>
      <c r="E39" s="1" t="n">
        <v>46283</v>
      </c>
      <c r="F39" t="inlineStr">
        <is>
          <t>HALLANDS LÄN</t>
        </is>
      </c>
      <c r="G39" t="inlineStr">
        <is>
          <t>VARBERG</t>
        </is>
      </c>
      <c r="I39" t="n">
        <v>3.8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HYPERLINK("https://klasma.github.io/Logging_1383/artfynd/A 20045-2024 artfynd.xlsx", "A 20045-2024")</f>
        <v/>
      </c>
      <c r="X39">
        <f>HYPERLINK("https://klasma.github.io/Logging_1383/kartor/A 20045-2024 karta.png", "A 20045-2024")</f>
        <v/>
      </c>
      <c r="Y39">
        <f>HYPERLINK("https://klasma.github.io/Logging_1383/kartor_geotiff/A 20045-2024 georefererad karta.tif", "A 20045-2024")</f>
        <v/>
      </c>
      <c r="AA39">
        <f>HYPERLINK("https://klasma.github.io/Logging_1383/klagomål/A 20045-2024 FSC-klagomål.docx", "A 20045-2024")</f>
        <v/>
      </c>
      <c r="AB39">
        <f>HYPERLINK("https://klasma.github.io/Logging_1383/klagomålsmail/A 20045-2024 FSC-klagomål mail.docx", "A 20045-2024")</f>
        <v/>
      </c>
      <c r="AC39">
        <f>HYPERLINK("https://klasma.github.io/Logging_1383/tillsyn/A 20045-2024 tillsynsbegäran.docx", "A 20045-2024")</f>
        <v/>
      </c>
      <c r="AD39">
        <f>HYPERLINK("https://klasma.github.io/Logging_1383/tillsynsmail/A 20045-2024 tillsynsbegäran mail.docx", "A 20045-2024")</f>
        <v/>
      </c>
    </row>
    <row r="40" ht="15" customHeight="1">
      <c r="A40" t="inlineStr">
        <is>
          <t>S 1760-2022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44655</v>
      </c>
      <c r="E40" s="1" t="n">
        <v>46283</v>
      </c>
      <c r="F40" t="inlineStr">
        <is>
          <t>HALLANDS LÄN</t>
        </is>
      </c>
      <c r="G40" t="inlineStr">
        <is>
          <t>VARBERG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HYPERLINK("https://klasma.github.io/Logging_1383/artfynd/S 1760-2022 artfynd.xlsx", "S 1760-2022")</f>
        <v/>
      </c>
      <c r="X40">
        <f>HYPERLINK("https://klasma.github.io/Logging_1383/kartor/S 1760-2022 karta.png", "S 1760-2022")</f>
        <v/>
      </c>
      <c r="Y40">
        <f>HYPERLINK("https://klasma.github.io/Logging_1383/kartor_geotiff/S 1760-2022 georefererad karta.tif", "S 1760-2022")</f>
        <v/>
      </c>
      <c r="AA40">
        <f>HYPERLINK("https://klasma.github.io/Logging_1383/klagomål/S 1760-2022 FSC-klagomål.docx", "S 1760-2022")</f>
        <v/>
      </c>
      <c r="AB40">
        <f>HYPERLINK("https://klasma.github.io/Logging_1383/klagomålsmail/S 1760-2022 FSC-klagomål mail.docx", "S 1760-2022")</f>
        <v/>
      </c>
      <c r="AC40">
        <f>HYPERLINK("https://klasma.github.io/Logging_1383/tillsyn/S 1760-2022 tillsynsbegäran.docx", "S 1760-2022")</f>
        <v/>
      </c>
      <c r="AD40">
        <f>HYPERLINK("https://klasma.github.io/Logging_1383/tillsynsmail/S 1760-2022 tillsynsbegäran mail.docx", "S 1760-2022")</f>
        <v/>
      </c>
    </row>
    <row r="41" ht="15" customHeight="1">
      <c r="A41" t="inlineStr">
        <is>
          <t>S 73-2024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46283</v>
      </c>
      <c r="F41" t="inlineStr">
        <is>
          <t>HALLANDS LÄN</t>
        </is>
      </c>
      <c r="G41" t="inlineStr">
        <is>
          <t>VARBERG</t>
        </is>
      </c>
      <c r="I41" t="n">
        <v>20.1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Tornseglare</t>
        </is>
      </c>
      <c r="W41">
        <f>HYPERLINK("https://klasma.github.io/Logging_1383/artfynd/S 73-2024 artfynd.xlsx", "S 73-2024")</f>
        <v/>
      </c>
      <c r="X41">
        <f>HYPERLINK("https://klasma.github.io/Logging_1383/kartor/S 73-2024 karta.png", "S 73-2024")</f>
        <v/>
      </c>
      <c r="Y41">
        <f>HYPERLINK("https://klasma.github.io/Logging_1383/kartor_geotiff/S 73-2024 georefererad karta.tif", "S 73-2024")</f>
        <v/>
      </c>
      <c r="AA41">
        <f>HYPERLINK("https://klasma.github.io/Logging_1383/klagomål/S 73-2024 FSC-klagomål.docx", "S 73-2024")</f>
        <v/>
      </c>
      <c r="AB41">
        <f>HYPERLINK("https://klasma.github.io/Logging_1383/klagomålsmail/S 73-2024 FSC-klagomål mail.docx", "S 73-2024")</f>
        <v/>
      </c>
      <c r="AC41">
        <f>HYPERLINK("https://klasma.github.io/Logging_1383/tillsyn/S 73-2024 tillsynsbegäran.docx", "S 73-2024")</f>
        <v/>
      </c>
      <c r="AD41">
        <f>HYPERLINK("https://klasma.github.io/Logging_1383/tillsynsmail/S 73-2024 tillsynsbegäran mail.docx", "S 73-2024")</f>
        <v/>
      </c>
      <c r="AE41">
        <f>HYPERLINK("https://klasma.github.io/Logging_1383/fåglar/S 73-2024 prioriterade fågelarter.docx", "S 73-2024")</f>
        <v/>
      </c>
    </row>
    <row r="42" ht="15" customHeight="1">
      <c r="A42" t="inlineStr">
        <is>
          <t>S 76-2024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45300</v>
      </c>
      <c r="E42" s="1" t="n">
        <v>46283</v>
      </c>
      <c r="F42" t="inlineStr">
        <is>
          <t>HALLANDS LÄN</t>
        </is>
      </c>
      <c r="G42" t="inlineStr">
        <is>
          <t>VARBERG</t>
        </is>
      </c>
      <c r="I42" t="n">
        <v>27.6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HYPERLINK("https://klasma.github.io/Logging_1383/artfynd/S 76-2024 artfynd.xlsx", "S 76-2024")</f>
        <v/>
      </c>
      <c r="X42">
        <f>HYPERLINK("https://klasma.github.io/Logging_1383/kartor/S 76-2024 karta.png", "S 76-2024")</f>
        <v/>
      </c>
      <c r="Y42">
        <f>HYPERLINK("https://klasma.github.io/Logging_1383/kartor_geotiff/S 76-2024 georefererad karta.tif", "S 76-2024")</f>
        <v/>
      </c>
      <c r="AA42">
        <f>HYPERLINK("https://klasma.github.io/Logging_1383/klagomål/S 76-2024 FSC-klagomål.docx", "S 76-2024")</f>
        <v/>
      </c>
      <c r="AB42">
        <f>HYPERLINK("https://klasma.github.io/Logging_1383/klagomålsmail/S 76-2024 FSC-klagomål mail.docx", "S 76-2024")</f>
        <v/>
      </c>
      <c r="AC42">
        <f>HYPERLINK("https://klasma.github.io/Logging_1383/tillsyn/S 76-2024 tillsynsbegäran.docx", "S 76-2024")</f>
        <v/>
      </c>
      <c r="AD42">
        <f>HYPERLINK("https://klasma.github.io/Logging_1383/tillsynsmail/S 76-2024 tillsynsbegäran mail.docx", "S 76-2024")</f>
        <v/>
      </c>
    </row>
    <row r="43" ht="15" customHeight="1">
      <c r="A43" t="inlineStr">
        <is>
          <t>S 295-2024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45324</v>
      </c>
      <c r="E43" s="1" t="n">
        <v>46283</v>
      </c>
      <c r="F43" t="inlineStr">
        <is>
          <t>HALLANDS LÄN</t>
        </is>
      </c>
      <c r="G43" t="inlineStr">
        <is>
          <t>VARBERG</t>
        </is>
      </c>
      <c r="I43" t="n">
        <v>18.7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Sparvuggla</t>
        </is>
      </c>
      <c r="W43">
        <f>HYPERLINK("https://klasma.github.io/Logging_1383/artfynd/S 295-2024 artfynd.xlsx", "S 295-2024")</f>
        <v/>
      </c>
      <c r="X43">
        <f>HYPERLINK("https://klasma.github.io/Logging_1383/kartor/S 295-2024 karta.png", "S 295-2024")</f>
        <v/>
      </c>
      <c r="Y43">
        <f>HYPERLINK("https://klasma.github.io/Logging_1383/kartor_geotiff/S 295-2024 georefererad karta.tif", "S 295-2024")</f>
        <v/>
      </c>
      <c r="AA43">
        <f>HYPERLINK("https://klasma.github.io/Logging_1383/klagomål/S 295-2024 FSC-klagomål.docx", "S 295-2024")</f>
        <v/>
      </c>
      <c r="AB43">
        <f>HYPERLINK("https://klasma.github.io/Logging_1383/klagomålsmail/S 295-2024 FSC-klagomål mail.docx", "S 295-2024")</f>
        <v/>
      </c>
      <c r="AC43">
        <f>HYPERLINK("https://klasma.github.io/Logging_1383/tillsyn/S 295-2024 tillsynsbegäran.docx", "S 295-2024")</f>
        <v/>
      </c>
      <c r="AD43">
        <f>HYPERLINK("https://klasma.github.io/Logging_1383/tillsynsmail/S 295-2024 tillsynsbegäran mail.docx", "S 295-2024")</f>
        <v/>
      </c>
      <c r="AE43">
        <f>HYPERLINK("https://klasma.github.io/Logging_1383/fåglar/S 295-2024 prioriterade fågelarter.docx", "S 295-2024")</f>
        <v/>
      </c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46283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46283</v>
      </c>
      <c r="F45" t="inlineStr">
        <is>
          <t>HALLANDS LÄN</t>
        </is>
      </c>
      <c r="G45" t="inlineStr">
        <is>
          <t>VARBERG</t>
        </is>
      </c>
      <c r="I45" t="n">
        <v>9.5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46283</v>
      </c>
      <c r="F46" t="inlineStr">
        <is>
          <t>HALLANDS LÄN</t>
        </is>
      </c>
      <c r="G46" t="inlineStr">
        <is>
          <t>VARBERG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46283</v>
      </c>
      <c r="F47" t="inlineStr">
        <is>
          <t>HALLANDS LÄN</t>
        </is>
      </c>
      <c r="G47" t="inlineStr">
        <is>
          <t>VARBERG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63613-2021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44509</v>
      </c>
      <c r="E48" s="1" t="n">
        <v>46283</v>
      </c>
      <c r="F48" t="inlineStr">
        <is>
          <t>HALLANDS LÄN</t>
        </is>
      </c>
      <c r="G48" t="inlineStr">
        <is>
          <t>VARBERG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46283</v>
      </c>
      <c r="F49" t="inlineStr">
        <is>
          <t>HALLANDS LÄN</t>
        </is>
      </c>
      <c r="G49" t="inlineStr">
        <is>
          <t>VARBERG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49697-2022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44862</v>
      </c>
      <c r="E50" s="1" t="n">
        <v>46283</v>
      </c>
      <c r="F50" t="inlineStr">
        <is>
          <t>HALLANDS LÄN</t>
        </is>
      </c>
      <c r="G50" t="inlineStr">
        <is>
          <t>VARBERG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44504</v>
      </c>
      <c r="E51" s="1" t="n">
        <v>46283</v>
      </c>
      <c r="F51" t="inlineStr">
        <is>
          <t>HALLANDS LÄN</t>
        </is>
      </c>
      <c r="G51" t="inlineStr">
        <is>
          <t>VARBERG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44581</v>
      </c>
      <c r="E52" s="1" t="n">
        <v>46283</v>
      </c>
      <c r="F52" t="inlineStr">
        <is>
          <t>HALLANDS LÄN</t>
        </is>
      </c>
      <c r="G52" t="inlineStr">
        <is>
          <t>VARBERG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46283</v>
      </c>
      <c r="F53" t="inlineStr">
        <is>
          <t>HALLANDS LÄN</t>
        </is>
      </c>
      <c r="G53" t="inlineStr">
        <is>
          <t>VARBERG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44834</v>
      </c>
      <c r="E54" s="1" t="n">
        <v>46283</v>
      </c>
      <c r="F54" t="inlineStr">
        <is>
          <t>HALLANDS LÄN</t>
        </is>
      </c>
      <c r="G54" t="inlineStr">
        <is>
          <t>VARBERG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46283</v>
      </c>
      <c r="F55" t="inlineStr">
        <is>
          <t>HALLANDS LÄN</t>
        </is>
      </c>
      <c r="G55" t="inlineStr">
        <is>
          <t>VARBERG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46283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44641</v>
      </c>
      <c r="E57" s="1" t="n">
        <v>46283</v>
      </c>
      <c r="F57" t="inlineStr">
        <is>
          <t>HALLANDS LÄN</t>
        </is>
      </c>
      <c r="G57" t="inlineStr">
        <is>
          <t>VARBERG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44797</v>
      </c>
      <c r="E58" s="1" t="n">
        <v>46283</v>
      </c>
      <c r="F58" t="inlineStr">
        <is>
          <t>HALLANDS LÄN</t>
        </is>
      </c>
      <c r="G58" t="inlineStr">
        <is>
          <t>VARBERG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14991-2022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44657</v>
      </c>
      <c r="E59" s="1" t="n">
        <v>46283</v>
      </c>
      <c r="F59" t="inlineStr">
        <is>
          <t>HALLANDS LÄN</t>
        </is>
      </c>
      <c r="G59" t="inlineStr">
        <is>
          <t>VARBERG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46283</v>
      </c>
      <c r="F60" t="inlineStr">
        <is>
          <t>HALLANDS LÄN</t>
        </is>
      </c>
      <c r="G60" t="inlineStr">
        <is>
          <t>VARBERG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46283</v>
      </c>
      <c r="F61" t="inlineStr">
        <is>
          <t>HALLANDS LÄN</t>
        </is>
      </c>
      <c r="G61" t="inlineStr">
        <is>
          <t>VARBERG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46283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44638</v>
      </c>
      <c r="E63" s="1" t="n">
        <v>46283</v>
      </c>
      <c r="F63" t="inlineStr">
        <is>
          <t>HALLANDS LÄN</t>
        </is>
      </c>
      <c r="G63" t="inlineStr">
        <is>
          <t>VARBERG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46283</v>
      </c>
      <c r="F64" t="inlineStr">
        <is>
          <t>HALLANDS LÄN</t>
        </is>
      </c>
      <c r="G64" t="inlineStr">
        <is>
          <t>VARBERG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44699</v>
      </c>
      <c r="E65" s="1" t="n">
        <v>46283</v>
      </c>
      <c r="F65" t="inlineStr">
        <is>
          <t>HALLANDS LÄN</t>
        </is>
      </c>
      <c r="G65" t="inlineStr">
        <is>
          <t>VARBERG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46283</v>
      </c>
      <c r="F66" t="inlineStr">
        <is>
          <t>HALLANDS LÄN</t>
        </is>
      </c>
      <c r="G66" t="inlineStr">
        <is>
          <t>VARBERG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46283</v>
      </c>
      <c r="F67" t="inlineStr">
        <is>
          <t>HALLANDS LÄN</t>
        </is>
      </c>
      <c r="G67" t="inlineStr">
        <is>
          <t>VARBERG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46283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46283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46283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46283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46283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46283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46283</v>
      </c>
      <c r="F74" t="inlineStr">
        <is>
          <t>HALLANDS LÄN</t>
        </is>
      </c>
      <c r="G74" t="inlineStr">
        <is>
          <t>VARBERG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46283</v>
      </c>
      <c r="F75" t="inlineStr">
        <is>
          <t>HALLANDS LÄN</t>
        </is>
      </c>
      <c r="G75" t="inlineStr">
        <is>
          <t>VARBERG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46283</v>
      </c>
      <c r="F76" t="inlineStr">
        <is>
          <t>HALLANDS LÄN</t>
        </is>
      </c>
      <c r="G76" t="inlineStr">
        <is>
          <t>VARBERG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46283</v>
      </c>
      <c r="F77" t="inlineStr">
        <is>
          <t>HALLANDS LÄN</t>
        </is>
      </c>
      <c r="G77" t="inlineStr">
        <is>
          <t>VARBERG</t>
        </is>
      </c>
      <c r="H77" t="inlineStr">
        <is>
          <t>Kyrkan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46283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45090</v>
      </c>
      <c r="E79" s="1" t="n">
        <v>46283</v>
      </c>
      <c r="F79" t="inlineStr">
        <is>
          <t>HALLANDS LÄN</t>
        </is>
      </c>
      <c r="G79" t="inlineStr">
        <is>
          <t>VARBERG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44890</v>
      </c>
      <c r="E80" s="1" t="n">
        <v>46283</v>
      </c>
      <c r="F80" t="inlineStr">
        <is>
          <t>HALLANDS LÄN</t>
        </is>
      </c>
      <c r="G80" t="inlineStr">
        <is>
          <t>VARBERG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46283</v>
      </c>
      <c r="F81" t="inlineStr">
        <is>
          <t>HALLANDS LÄN</t>
        </is>
      </c>
      <c r="G81" t="inlineStr">
        <is>
          <t>VARBERG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16755-2024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46283</v>
      </c>
      <c r="F82" t="inlineStr">
        <is>
          <t>HALLANDS LÄN</t>
        </is>
      </c>
      <c r="G82" t="inlineStr">
        <is>
          <t>VARBERG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45574</v>
      </c>
      <c r="E83" s="1" t="n">
        <v>46283</v>
      </c>
      <c r="F83" t="inlineStr">
        <is>
          <t>HALLANDS LÄN</t>
        </is>
      </c>
      <c r="G83" t="inlineStr">
        <is>
          <t>VARBERG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45323</v>
      </c>
      <c r="E84" s="1" t="n">
        <v>46283</v>
      </c>
      <c r="F84" t="inlineStr">
        <is>
          <t>HALLANDS LÄN</t>
        </is>
      </c>
      <c r="G84" t="inlineStr">
        <is>
          <t>VARBERG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46283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46283</v>
      </c>
      <c r="F86" t="inlineStr">
        <is>
          <t>HALLANDS LÄN</t>
        </is>
      </c>
      <c r="G86" t="inlineStr">
        <is>
          <t>VARBERG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46283</v>
      </c>
      <c r="F87" t="inlineStr">
        <is>
          <t>HALLANDS LÄN</t>
        </is>
      </c>
      <c r="G87" t="inlineStr">
        <is>
          <t>VARBERG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44457</v>
      </c>
      <c r="E88" s="1" t="n">
        <v>46283</v>
      </c>
      <c r="F88" t="inlineStr">
        <is>
          <t>HALLANDS LÄN</t>
        </is>
      </c>
      <c r="G88" t="inlineStr">
        <is>
          <t>VARBERG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46283</v>
      </c>
      <c r="F89" t="inlineStr">
        <is>
          <t>HALLANDS LÄN</t>
        </is>
      </c>
      <c r="G89" t="inlineStr">
        <is>
          <t>VARBERG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46283</v>
      </c>
      <c r="F90" t="inlineStr">
        <is>
          <t>HALLANDS LÄN</t>
        </is>
      </c>
      <c r="G90" t="inlineStr">
        <is>
          <t>VARBERG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44574</v>
      </c>
      <c r="E91" s="1" t="n">
        <v>46283</v>
      </c>
      <c r="F91" t="inlineStr">
        <is>
          <t>HALLANDS LÄN</t>
        </is>
      </c>
      <c r="G91" t="inlineStr">
        <is>
          <t>VARBERG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46283</v>
      </c>
      <c r="F92" t="inlineStr">
        <is>
          <t>HALLANDS LÄN</t>
        </is>
      </c>
      <c r="G92" t="inlineStr">
        <is>
          <t>VARBERG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46283</v>
      </c>
      <c r="F93" t="inlineStr">
        <is>
          <t>HALLANDS LÄN</t>
        </is>
      </c>
      <c r="G93" t="inlineStr">
        <is>
          <t>VARBERG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46283</v>
      </c>
      <c r="F94" t="inlineStr">
        <is>
          <t>HALLANDS LÄN</t>
        </is>
      </c>
      <c r="G94" t="inlineStr">
        <is>
          <t>VARBERG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46283</v>
      </c>
      <c r="F95" t="inlineStr">
        <is>
          <t>HALLANDS LÄN</t>
        </is>
      </c>
      <c r="G95" t="inlineStr">
        <is>
          <t>VARBERG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46283</v>
      </c>
      <c r="F96" t="inlineStr">
        <is>
          <t>HALLANDS LÄN</t>
        </is>
      </c>
      <c r="G96" t="inlineStr">
        <is>
          <t>VARBERG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46283</v>
      </c>
      <c r="F97" t="inlineStr">
        <is>
          <t>HALLANDS LÄN</t>
        </is>
      </c>
      <c r="G97" t="inlineStr">
        <is>
          <t>VARBERG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44910</v>
      </c>
      <c r="E98" s="1" t="n">
        <v>46283</v>
      </c>
      <c r="F98" t="inlineStr">
        <is>
          <t>HALLANDS LÄN</t>
        </is>
      </c>
      <c r="G98" t="inlineStr">
        <is>
          <t>VARBERG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46283</v>
      </c>
      <c r="F99" t="inlineStr">
        <is>
          <t>HALLANDS LÄN</t>
        </is>
      </c>
      <c r="G99" t="inlineStr">
        <is>
          <t>VARBERG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46283</v>
      </c>
      <c r="F100" t="inlineStr">
        <is>
          <t>HALLANDS LÄN</t>
        </is>
      </c>
      <c r="G100" t="inlineStr">
        <is>
          <t>VARBERG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46283</v>
      </c>
      <c r="F101" t="inlineStr">
        <is>
          <t>HALLANDS LÄN</t>
        </is>
      </c>
      <c r="G101" t="inlineStr">
        <is>
          <t>VARBERG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46064</v>
      </c>
      <c r="E102" s="1" t="n">
        <v>46283</v>
      </c>
      <c r="F102" t="inlineStr">
        <is>
          <t>HALLANDS LÄN</t>
        </is>
      </c>
      <c r="G102" t="inlineStr">
        <is>
          <t>VARBERG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46283</v>
      </c>
      <c r="F103" t="inlineStr">
        <is>
          <t>HALLANDS LÄN</t>
        </is>
      </c>
      <c r="G103" t="inlineStr">
        <is>
          <t>VARBERG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46283</v>
      </c>
      <c r="F104" t="inlineStr">
        <is>
          <t>HALLANDS LÄN</t>
        </is>
      </c>
      <c r="G104" t="inlineStr">
        <is>
          <t>VARBERG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46283</v>
      </c>
      <c r="F105" t="inlineStr">
        <is>
          <t>HALLANDS LÄN</t>
        </is>
      </c>
      <c r="G105" t="inlineStr">
        <is>
          <t>VARBERG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46283</v>
      </c>
      <c r="F106" t="inlineStr">
        <is>
          <t>HALLANDS LÄN</t>
        </is>
      </c>
      <c r="G106" t="inlineStr">
        <is>
          <t>VARBERG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46283</v>
      </c>
      <c r="F107" t="inlineStr">
        <is>
          <t>HALLANDS LÄN</t>
        </is>
      </c>
      <c r="G107" t="inlineStr">
        <is>
          <t>VARBERG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45392</v>
      </c>
      <c r="E108" s="1" t="n">
        <v>46283</v>
      </c>
      <c r="F108" t="inlineStr">
        <is>
          <t>HALLANDS LÄN</t>
        </is>
      </c>
      <c r="G108" t="inlineStr">
        <is>
          <t>VARBERG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44659</v>
      </c>
      <c r="E109" s="1" t="n">
        <v>46283</v>
      </c>
      <c r="F109" t="inlineStr">
        <is>
          <t>HALLANDS LÄN</t>
        </is>
      </c>
      <c r="G109" t="inlineStr">
        <is>
          <t>VARBERG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45589</v>
      </c>
      <c r="E110" s="1" t="n">
        <v>46283</v>
      </c>
      <c r="F110" t="inlineStr">
        <is>
          <t>HALLANDS LÄN</t>
        </is>
      </c>
      <c r="G110" t="inlineStr">
        <is>
          <t>VARBERG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48679-2023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46283</v>
      </c>
      <c r="F111" t="inlineStr">
        <is>
          <t>HALLANDS LÄN</t>
        </is>
      </c>
      <c r="G111" t="inlineStr">
        <is>
          <t>VARBERG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44974</v>
      </c>
      <c r="E112" s="1" t="n">
        <v>46283</v>
      </c>
      <c r="F112" t="inlineStr">
        <is>
          <t>HALLANDS LÄN</t>
        </is>
      </c>
      <c r="G112" t="inlineStr">
        <is>
          <t>VARBERG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46283</v>
      </c>
      <c r="F113" t="inlineStr">
        <is>
          <t>HALLANDS LÄN</t>
        </is>
      </c>
      <c r="G113" t="inlineStr">
        <is>
          <t>VARBERG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10229-2023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44980</v>
      </c>
      <c r="E114" s="1" t="n">
        <v>46283</v>
      </c>
      <c r="F114" t="inlineStr">
        <is>
          <t>HALLANDS LÄN</t>
        </is>
      </c>
      <c r="G114" t="inlineStr">
        <is>
          <t>VARBERG</t>
        </is>
      </c>
      <c r="H114" t="inlineStr">
        <is>
          <t>Övriga statliga verk och myndigheter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46283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45839</v>
      </c>
      <c r="E116" s="1" t="n">
        <v>46283</v>
      </c>
      <c r="F116" t="inlineStr">
        <is>
          <t>HALLANDS LÄN</t>
        </is>
      </c>
      <c r="G116" t="inlineStr">
        <is>
          <t>VARBERG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45839</v>
      </c>
      <c r="E117" s="1" t="n">
        <v>46283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46283</v>
      </c>
      <c r="F118" t="inlineStr">
        <is>
          <t>HALLANDS LÄN</t>
        </is>
      </c>
      <c r="G118" t="inlineStr">
        <is>
          <t>VARBERG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19595-2025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46283</v>
      </c>
      <c r="F119" t="inlineStr">
        <is>
          <t>HALLANDS LÄN</t>
        </is>
      </c>
      <c r="G119" t="inlineStr">
        <is>
          <t>VARBERG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19837-2025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46283</v>
      </c>
      <c r="F120" t="inlineStr">
        <is>
          <t>HALLANDS LÄN</t>
        </is>
      </c>
      <c r="G120" t="inlineStr">
        <is>
          <t>VARBERG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46283</v>
      </c>
      <c r="F121" t="inlineStr">
        <is>
          <t>HALLANDS LÄN</t>
        </is>
      </c>
      <c r="G121" t="inlineStr">
        <is>
          <t>VARBERG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46092</v>
      </c>
      <c r="E122" s="1" t="n">
        <v>46283</v>
      </c>
      <c r="F122" t="inlineStr">
        <is>
          <t>HALLANDS LÄN</t>
        </is>
      </c>
      <c r="G122" t="inlineStr">
        <is>
          <t>VARBERG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46283</v>
      </c>
      <c r="F123" t="inlineStr">
        <is>
          <t>HALLANDS LÄN</t>
        </is>
      </c>
      <c r="G123" t="inlineStr">
        <is>
          <t>VARBERG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46094</v>
      </c>
      <c r="E124" s="1" t="n">
        <v>46283</v>
      </c>
      <c r="F124" t="inlineStr">
        <is>
          <t>HALLANDS LÄN</t>
        </is>
      </c>
      <c r="G124" t="inlineStr">
        <is>
          <t>VARBERG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46094</v>
      </c>
      <c r="E125" s="1" t="n">
        <v>46283</v>
      </c>
      <c r="F125" t="inlineStr">
        <is>
          <t>HALLANDS LÄN</t>
        </is>
      </c>
      <c r="G125" t="inlineStr">
        <is>
          <t>VARBERG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45741</v>
      </c>
      <c r="E126" s="1" t="n">
        <v>46283</v>
      </c>
      <c r="F126" t="inlineStr">
        <is>
          <t>HALLANDS LÄN</t>
        </is>
      </c>
      <c r="G126" t="inlineStr">
        <is>
          <t>VARBERG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45852</v>
      </c>
      <c r="E127" s="1" t="n">
        <v>46283</v>
      </c>
      <c r="F127" t="inlineStr">
        <is>
          <t>HALLANDS LÄN</t>
        </is>
      </c>
      <c r="G127" t="inlineStr">
        <is>
          <t>VARBERG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45849</v>
      </c>
      <c r="E128" s="1" t="n">
        <v>46283</v>
      </c>
      <c r="F128" t="inlineStr">
        <is>
          <t>HALLANDS LÄN</t>
        </is>
      </c>
      <c r="G128" t="inlineStr">
        <is>
          <t>VARBERG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45852</v>
      </c>
      <c r="E129" s="1" t="n">
        <v>46283</v>
      </c>
      <c r="F129" t="inlineStr">
        <is>
          <t>HALLANDS LÄN</t>
        </is>
      </c>
      <c r="G129" t="inlineStr">
        <is>
          <t>VARBERG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45852</v>
      </c>
      <c r="E130" s="1" t="n">
        <v>46283</v>
      </c>
      <c r="F130" t="inlineStr">
        <is>
          <t>HALLANDS LÄN</t>
        </is>
      </c>
      <c r="G130" t="inlineStr">
        <is>
          <t>VARBERG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13430-2025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45736</v>
      </c>
      <c r="E131" s="1" t="n">
        <v>46283</v>
      </c>
      <c r="F131" t="inlineStr">
        <is>
          <t>HALLANDS LÄN</t>
        </is>
      </c>
      <c r="G131" t="inlineStr">
        <is>
          <t>VARBERG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44966</v>
      </c>
      <c r="E132" s="1" t="n">
        <v>46283</v>
      </c>
      <c r="F132" t="inlineStr">
        <is>
          <t>HALLANDS LÄN</t>
        </is>
      </c>
      <c r="G132" t="inlineStr">
        <is>
          <t>VARBERG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45579</v>
      </c>
      <c r="E133" s="1" t="n">
        <v>46283</v>
      </c>
      <c r="F133" t="inlineStr">
        <is>
          <t>HALLANDS LÄN</t>
        </is>
      </c>
      <c r="G133" t="inlineStr">
        <is>
          <t>VARBERG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15013-2026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46104</v>
      </c>
      <c r="E134" s="1" t="n">
        <v>46283</v>
      </c>
      <c r="F134" t="inlineStr">
        <is>
          <t>HALLANDS LÄN</t>
        </is>
      </c>
      <c r="G134" t="inlineStr">
        <is>
          <t>VARBERG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15508-2026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46283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46283</v>
      </c>
      <c r="F136" t="inlineStr">
        <is>
          <t>HALLANDS LÄN</t>
        </is>
      </c>
      <c r="G136" t="inlineStr">
        <is>
          <t>VARBERG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46283</v>
      </c>
      <c r="F137" t="inlineStr">
        <is>
          <t>HALLANDS LÄN</t>
        </is>
      </c>
      <c r="G137" t="inlineStr">
        <is>
          <t>VARBERG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46283</v>
      </c>
      <c r="F138" t="inlineStr">
        <is>
          <t>HALLANDS LÄN</t>
        </is>
      </c>
      <c r="G138" t="inlineStr">
        <is>
          <t>VARBERG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46283</v>
      </c>
      <c r="F139" t="inlineStr">
        <is>
          <t>HALLANDS LÄN</t>
        </is>
      </c>
      <c r="G139" t="inlineStr">
        <is>
          <t>VARBERG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46283</v>
      </c>
      <c r="F140" t="inlineStr">
        <is>
          <t>HALLANDS LÄN</t>
        </is>
      </c>
      <c r="G140" t="inlineStr">
        <is>
          <t>VARBERG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46283</v>
      </c>
      <c r="F141" t="inlineStr">
        <is>
          <t>HALLANDS LÄN</t>
        </is>
      </c>
      <c r="G141" t="inlineStr">
        <is>
          <t>VARBERG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56853-2021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44481</v>
      </c>
      <c r="E142" s="1" t="n">
        <v>46283</v>
      </c>
      <c r="F142" t="inlineStr">
        <is>
          <t>HALLANDS LÄN</t>
        </is>
      </c>
      <c r="G142" t="inlineStr">
        <is>
          <t>VARBERG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45200</v>
      </c>
      <c r="E143" s="1" t="n">
        <v>46283</v>
      </c>
      <c r="F143" t="inlineStr">
        <is>
          <t>HALLANDS LÄN</t>
        </is>
      </c>
      <c r="G143" t="inlineStr">
        <is>
          <t>VARBERG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49760-2024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45597</v>
      </c>
      <c r="E144" s="1" t="n">
        <v>46283</v>
      </c>
      <c r="F144" t="inlineStr">
        <is>
          <t>HALLANDS LÄN</t>
        </is>
      </c>
      <c r="G144" t="inlineStr">
        <is>
          <t>VARBERG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45131</v>
      </c>
      <c r="E145" s="1" t="n">
        <v>46283</v>
      </c>
      <c r="F145" t="inlineStr">
        <is>
          <t>HALLANDS LÄN</t>
        </is>
      </c>
      <c r="G145" t="inlineStr">
        <is>
          <t>VARBERG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46283</v>
      </c>
      <c r="F146" t="inlineStr">
        <is>
          <t>HALLANDS LÄN</t>
        </is>
      </c>
      <c r="G146" t="inlineStr">
        <is>
          <t>VARBERG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46283</v>
      </c>
      <c r="F147" t="inlineStr">
        <is>
          <t>HALLANDS LÄN</t>
        </is>
      </c>
      <c r="G147" t="inlineStr">
        <is>
          <t>VARBERG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72361-2021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44545</v>
      </c>
      <c r="E148" s="1" t="n">
        <v>46283</v>
      </c>
      <c r="F148" t="inlineStr">
        <is>
          <t>HALLANDS LÄN</t>
        </is>
      </c>
      <c r="G148" t="inlineStr">
        <is>
          <t>VARBERG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44982</v>
      </c>
      <c r="E149" s="1" t="n">
        <v>46283</v>
      </c>
      <c r="F149" t="inlineStr">
        <is>
          <t>HALLANDS LÄN</t>
        </is>
      </c>
      <c r="G149" t="inlineStr">
        <is>
          <t>VARBERG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45271</v>
      </c>
      <c r="E150" s="1" t="n">
        <v>46283</v>
      </c>
      <c r="F150" t="inlineStr">
        <is>
          <t>HALLANDS LÄN</t>
        </is>
      </c>
      <c r="G150" t="inlineStr">
        <is>
          <t>VARBERG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44829</v>
      </c>
      <c r="E151" s="1" t="n">
        <v>46283</v>
      </c>
      <c r="F151" t="inlineStr">
        <is>
          <t>HALLANDS LÄN</t>
        </is>
      </c>
      <c r="G151" t="inlineStr">
        <is>
          <t>VARBERG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45271</v>
      </c>
      <c r="E152" s="1" t="n">
        <v>46283</v>
      </c>
      <c r="F152" t="inlineStr">
        <is>
          <t>HALLANDS LÄN</t>
        </is>
      </c>
      <c r="G152" t="inlineStr">
        <is>
          <t>VARBERG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45365</v>
      </c>
      <c r="E153" s="1" t="n">
        <v>46283</v>
      </c>
      <c r="F153" t="inlineStr">
        <is>
          <t>HALLANDS LÄN</t>
        </is>
      </c>
      <c r="G153" t="inlineStr">
        <is>
          <t>VARBERG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46283</v>
      </c>
      <c r="F154" t="inlineStr">
        <is>
          <t>HALLANDS LÄN</t>
        </is>
      </c>
      <c r="G154" t="inlineStr">
        <is>
          <t>VARBERG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46283</v>
      </c>
      <c r="F155" t="inlineStr">
        <is>
          <t>HALLANDS LÄN</t>
        </is>
      </c>
      <c r="G155" t="inlineStr">
        <is>
          <t>VARBERG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46283</v>
      </c>
      <c r="F156" t="inlineStr">
        <is>
          <t>HALLANDS LÄN</t>
        </is>
      </c>
      <c r="G156" t="inlineStr">
        <is>
          <t>VARBERG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46283</v>
      </c>
      <c r="F157" t="inlineStr">
        <is>
          <t>HALLANDS LÄN</t>
        </is>
      </c>
      <c r="G157" t="inlineStr">
        <is>
          <t>VARBERG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46283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36812-2025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45873</v>
      </c>
      <c r="E159" s="1" t="n">
        <v>46283</v>
      </c>
      <c r="F159" t="inlineStr">
        <is>
          <t>HALLANDS LÄN</t>
        </is>
      </c>
      <c r="G159" t="inlineStr">
        <is>
          <t>VARBERG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46120</v>
      </c>
      <c r="E160" s="1" t="n">
        <v>46283</v>
      </c>
      <c r="F160" t="inlineStr">
        <is>
          <t>HALLANDS LÄN</t>
        </is>
      </c>
      <c r="G160" t="inlineStr">
        <is>
          <t>VARBERG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44818</v>
      </c>
      <c r="E161" s="1" t="n">
        <v>46283</v>
      </c>
      <c r="F161" t="inlineStr">
        <is>
          <t>HALLANDS LÄN</t>
        </is>
      </c>
      <c r="G161" t="inlineStr">
        <is>
          <t>VARBERG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46283</v>
      </c>
      <c r="F162" t="inlineStr">
        <is>
          <t>HALLANDS LÄN</t>
        </is>
      </c>
      <c r="G162" t="inlineStr">
        <is>
          <t>VARBERG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46283</v>
      </c>
      <c r="F163" t="inlineStr">
        <is>
          <t>HALLANDS LÄN</t>
        </is>
      </c>
      <c r="G163" t="inlineStr">
        <is>
          <t>VARBERG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35018-2025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45851</v>
      </c>
      <c r="E164" s="1" t="n">
        <v>46283</v>
      </c>
      <c r="F164" t="inlineStr">
        <is>
          <t>HALLANDS LÄN</t>
        </is>
      </c>
      <c r="G164" t="inlineStr">
        <is>
          <t>VARBERG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46283</v>
      </c>
      <c r="F165" t="inlineStr">
        <is>
          <t>HALLANDS LÄN</t>
        </is>
      </c>
      <c r="G165" t="inlineStr">
        <is>
          <t>VARBERG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45877</v>
      </c>
      <c r="E166" s="1" t="n">
        <v>46283</v>
      </c>
      <c r="F166" t="inlineStr">
        <is>
          <t>HALLANDS LÄN</t>
        </is>
      </c>
      <c r="G166" t="inlineStr">
        <is>
          <t>VARBERG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46283</v>
      </c>
      <c r="F167" t="inlineStr">
        <is>
          <t>HALLANDS LÄN</t>
        </is>
      </c>
      <c r="G167" t="inlineStr">
        <is>
          <t>VARBERG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19130-2026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46132</v>
      </c>
      <c r="E168" s="1" t="n">
        <v>46283</v>
      </c>
      <c r="F168" t="inlineStr">
        <is>
          <t>HALLANDS LÄN</t>
        </is>
      </c>
      <c r="G168" t="inlineStr">
        <is>
          <t>VARBERG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46283</v>
      </c>
      <c r="F169" t="inlineStr">
        <is>
          <t>HALLANDS LÄN</t>
        </is>
      </c>
      <c r="G169" t="inlineStr">
        <is>
          <t>VARBERG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13799-2022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44649</v>
      </c>
      <c r="E170" s="1" t="n">
        <v>46283</v>
      </c>
      <c r="F170" t="inlineStr">
        <is>
          <t>HALLANDS LÄN</t>
        </is>
      </c>
      <c r="G170" t="inlineStr">
        <is>
          <t>VARBERG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44649</v>
      </c>
      <c r="E171" s="1" t="n">
        <v>46283</v>
      </c>
      <c r="F171" t="inlineStr">
        <is>
          <t>HALLANDS LÄN</t>
        </is>
      </c>
      <c r="G171" t="inlineStr">
        <is>
          <t>VARBERG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45897</v>
      </c>
      <c r="E172" s="1" t="n">
        <v>46283</v>
      </c>
      <c r="F172" t="inlineStr">
        <is>
          <t>HALLANDS LÄN</t>
        </is>
      </c>
      <c r="G172" t="inlineStr">
        <is>
          <t>VARBERG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46283</v>
      </c>
      <c r="F173" t="inlineStr">
        <is>
          <t>HALLANDS LÄN</t>
        </is>
      </c>
      <c r="G173" t="inlineStr">
        <is>
          <t>VARBERG</t>
        </is>
      </c>
      <c r="I173" t="n">
        <v>18.8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46283</v>
      </c>
      <c r="F174" t="inlineStr">
        <is>
          <t>HALLANDS LÄN</t>
        </is>
      </c>
      <c r="G174" t="inlineStr">
        <is>
          <t>VARBERG</t>
        </is>
      </c>
      <c r="H174" t="inlineStr">
        <is>
          <t>Övriga statliga verk och myndigheter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46283</v>
      </c>
      <c r="F175" t="inlineStr">
        <is>
          <t>HALLANDS LÄN</t>
        </is>
      </c>
      <c r="G175" t="inlineStr">
        <is>
          <t>VARBERG</t>
        </is>
      </c>
      <c r="H175" t="inlineStr">
        <is>
          <t>Övriga statliga verk och myndigheter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44644</v>
      </c>
      <c r="E176" s="1" t="n">
        <v>46283</v>
      </c>
      <c r="F176" t="inlineStr">
        <is>
          <t>HALLANDS LÄN</t>
        </is>
      </c>
      <c r="G176" t="inlineStr">
        <is>
          <t>VARBERG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45487</v>
      </c>
      <c r="E177" s="1" t="n">
        <v>46283</v>
      </c>
      <c r="F177" t="inlineStr">
        <is>
          <t>HALLANDS LÄN</t>
        </is>
      </c>
      <c r="G177" t="inlineStr">
        <is>
          <t>VARBERG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46283</v>
      </c>
      <c r="F178" t="inlineStr">
        <is>
          <t>HALLANDS LÄN</t>
        </is>
      </c>
      <c r="G178" t="inlineStr">
        <is>
          <t>VARBERG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46283</v>
      </c>
      <c r="F179" t="inlineStr">
        <is>
          <t>HALLANDS LÄN</t>
        </is>
      </c>
      <c r="G179" t="inlineStr">
        <is>
          <t>VARBERG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46283</v>
      </c>
      <c r="F180" t="inlineStr">
        <is>
          <t>HALLANDS LÄN</t>
        </is>
      </c>
      <c r="G180" t="inlineStr">
        <is>
          <t>VARBERG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46283</v>
      </c>
      <c r="F181" t="inlineStr">
        <is>
          <t>HALLANDS LÄN</t>
        </is>
      </c>
      <c r="G181" t="inlineStr">
        <is>
          <t>VARBERG</t>
        </is>
      </c>
      <c r="I181" t="n">
        <v>11.6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43273-2025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45910</v>
      </c>
      <c r="E182" s="1" t="n">
        <v>46283</v>
      </c>
      <c r="F182" t="inlineStr">
        <is>
          <t>HALLANDS LÄN</t>
        </is>
      </c>
      <c r="G182" t="inlineStr">
        <is>
          <t>VARBERG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46283</v>
      </c>
      <c r="F183" t="inlineStr">
        <is>
          <t>HALLANDS LÄN</t>
        </is>
      </c>
      <c r="G183" t="inlineStr">
        <is>
          <t>VARBERG</t>
        </is>
      </c>
      <c r="I183" t="n">
        <v>8.699999999999999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46283</v>
      </c>
      <c r="F184" t="inlineStr">
        <is>
          <t>HALLANDS LÄN</t>
        </is>
      </c>
      <c r="G184" t="inlineStr">
        <is>
          <t>VARBERG</t>
        </is>
      </c>
      <c r="H184" t="inlineStr">
        <is>
          <t>Kyrkan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45912</v>
      </c>
      <c r="E185" s="1" t="n">
        <v>46283</v>
      </c>
      <c r="F185" t="inlineStr">
        <is>
          <t>HALLANDS LÄN</t>
        </is>
      </c>
      <c r="G185" t="inlineStr">
        <is>
          <t>VARBERG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46283</v>
      </c>
      <c r="F186" t="inlineStr">
        <is>
          <t>HALLANDS LÄN</t>
        </is>
      </c>
      <c r="G186" t="inlineStr">
        <is>
          <t>VARBERG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46283</v>
      </c>
      <c r="F187" t="inlineStr">
        <is>
          <t>HALLANDS LÄN</t>
        </is>
      </c>
      <c r="G187" t="inlineStr">
        <is>
          <t>VARBERG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46283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45852</v>
      </c>
      <c r="E189" s="1" t="n">
        <v>46283</v>
      </c>
      <c r="F189" t="inlineStr">
        <is>
          <t>HALLANDS LÄN</t>
        </is>
      </c>
      <c r="G189" t="inlineStr">
        <is>
          <t>VARBERG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45743</v>
      </c>
      <c r="E190" s="1" t="n">
        <v>46283</v>
      </c>
      <c r="F190" t="inlineStr">
        <is>
          <t>HALLANDS LÄN</t>
        </is>
      </c>
      <c r="G190" t="inlineStr">
        <is>
          <t>VARBERG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45743</v>
      </c>
      <c r="E191" s="1" t="n">
        <v>46283</v>
      </c>
      <c r="F191" t="inlineStr">
        <is>
          <t>HALLANDS LÄN</t>
        </is>
      </c>
      <c r="G191" t="inlineStr">
        <is>
          <t>VARBERG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46283</v>
      </c>
      <c r="F192" t="inlineStr">
        <is>
          <t>HALLANDS LÄN</t>
        </is>
      </c>
      <c r="G192" t="inlineStr">
        <is>
          <t>VARBERG</t>
        </is>
      </c>
      <c r="H192" t="inlineStr">
        <is>
          <t>Övriga statliga verk och myndigheter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46283</v>
      </c>
      <c r="F193" t="inlineStr">
        <is>
          <t>HALLANDS LÄN</t>
        </is>
      </c>
      <c r="G193" t="inlineStr">
        <is>
          <t>VARBERG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45104</v>
      </c>
      <c r="E194" s="1" t="n">
        <v>46283</v>
      </c>
      <c r="F194" t="inlineStr">
        <is>
          <t>HALLANDS LÄN</t>
        </is>
      </c>
      <c r="G194" t="inlineStr">
        <is>
          <t>VARBERG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45554</v>
      </c>
      <c r="E195" s="1" t="n">
        <v>46283</v>
      </c>
      <c r="F195" t="inlineStr">
        <is>
          <t>HALLANDS LÄN</t>
        </is>
      </c>
      <c r="G195" t="inlineStr">
        <is>
          <t>VARBERG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7109-2023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44970</v>
      </c>
      <c r="E196" s="1" t="n">
        <v>46283</v>
      </c>
      <c r="F196" t="inlineStr">
        <is>
          <t>HALLANDS LÄN</t>
        </is>
      </c>
      <c r="G196" t="inlineStr">
        <is>
          <t>VARBERG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45772</v>
      </c>
      <c r="E197" s="1" t="n">
        <v>46283</v>
      </c>
      <c r="F197" t="inlineStr">
        <is>
          <t>HALLANDS LÄN</t>
        </is>
      </c>
      <c r="G197" t="inlineStr">
        <is>
          <t>VARBERG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45196</v>
      </c>
      <c r="E198" s="1" t="n">
        <v>46283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45623</v>
      </c>
      <c r="E199" s="1" t="n">
        <v>46283</v>
      </c>
      <c r="F199" t="inlineStr">
        <is>
          <t>HALLANDS LÄN</t>
        </is>
      </c>
      <c r="G199" t="inlineStr">
        <is>
          <t>VARBERG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45477</v>
      </c>
      <c r="E200" s="1" t="n">
        <v>46283</v>
      </c>
      <c r="F200" t="inlineStr">
        <is>
          <t>HALLANDS LÄN</t>
        </is>
      </c>
      <c r="G200" t="inlineStr">
        <is>
          <t>VARBERG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45509</v>
      </c>
      <c r="E201" s="1" t="n">
        <v>46283</v>
      </c>
      <c r="F201" t="inlineStr">
        <is>
          <t>HALLANDS LÄN</t>
        </is>
      </c>
      <c r="G201" t="inlineStr">
        <is>
          <t>VARBERG</t>
        </is>
      </c>
      <c r="H201" t="inlineStr">
        <is>
          <t>Kyrkan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46283</v>
      </c>
      <c r="F202" t="inlineStr">
        <is>
          <t>HALLANDS LÄN</t>
        </is>
      </c>
      <c r="G202" t="inlineStr">
        <is>
          <t>VARBERG</t>
        </is>
      </c>
      <c r="I202" t="n">
        <v>10.1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46283</v>
      </c>
      <c r="F203" t="inlineStr">
        <is>
          <t>HALLANDS LÄN</t>
        </is>
      </c>
      <c r="G203" t="inlineStr">
        <is>
          <t>VARBERG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46283</v>
      </c>
      <c r="F204" t="inlineStr">
        <is>
          <t>HALLANDS LÄN</t>
        </is>
      </c>
      <c r="G204" t="inlineStr">
        <is>
          <t>VARBERG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45075</v>
      </c>
      <c r="E205" s="1" t="n">
        <v>46283</v>
      </c>
      <c r="F205" t="inlineStr">
        <is>
          <t>HALLANDS LÄN</t>
        </is>
      </c>
      <c r="G205" t="inlineStr">
        <is>
          <t>VARBERG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46283</v>
      </c>
      <c r="F206" t="inlineStr">
        <is>
          <t>HALLANDS LÄN</t>
        </is>
      </c>
      <c r="G206" t="inlineStr">
        <is>
          <t>VARBERG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46283</v>
      </c>
      <c r="F207" t="inlineStr">
        <is>
          <t>HALLANDS LÄN</t>
        </is>
      </c>
      <c r="G207" t="inlineStr">
        <is>
          <t>VARBERG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46283</v>
      </c>
      <c r="F208" t="inlineStr">
        <is>
          <t>HALLANDS LÄN</t>
        </is>
      </c>
      <c r="G208" t="inlineStr">
        <is>
          <t>VARBERG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46283</v>
      </c>
      <c r="F209" t="inlineStr">
        <is>
          <t>HALLANDS LÄN</t>
        </is>
      </c>
      <c r="G209" t="inlineStr">
        <is>
          <t>VARBERG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45722</v>
      </c>
      <c r="E210" s="1" t="n">
        <v>46283</v>
      </c>
      <c r="F210" t="inlineStr">
        <is>
          <t>HALLANDS LÄN</t>
        </is>
      </c>
      <c r="G210" t="inlineStr">
        <is>
          <t>VARBERG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46283</v>
      </c>
      <c r="F211" t="inlineStr">
        <is>
          <t>HALLANDS LÄN</t>
        </is>
      </c>
      <c r="G211" t="inlineStr">
        <is>
          <t>VARBERG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46283</v>
      </c>
      <c r="F212" t="inlineStr">
        <is>
          <t>HALLANDS LÄN</t>
        </is>
      </c>
      <c r="G212" t="inlineStr">
        <is>
          <t>VARBERG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45785</v>
      </c>
      <c r="E213" s="1" t="n">
        <v>46283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46283</v>
      </c>
      <c r="F214" t="inlineStr">
        <is>
          <t>HALLANDS LÄN</t>
        </is>
      </c>
      <c r="G214" t="inlineStr">
        <is>
          <t>VARBERG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45792</v>
      </c>
      <c r="E215" s="1" t="n">
        <v>46283</v>
      </c>
      <c r="F215" t="inlineStr">
        <is>
          <t>HALLANDS LÄN</t>
        </is>
      </c>
      <c r="G215" t="inlineStr">
        <is>
          <t>VARBERG</t>
        </is>
      </c>
      <c r="I215" t="n">
        <v>11.8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46283</v>
      </c>
      <c r="F216" t="inlineStr">
        <is>
          <t>HALLANDS LÄN</t>
        </is>
      </c>
      <c r="G216" t="inlineStr">
        <is>
          <t>VARBERG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46283</v>
      </c>
      <c r="F217" t="inlineStr">
        <is>
          <t>HALLANDS LÄN</t>
        </is>
      </c>
      <c r="G217" t="inlineStr">
        <is>
          <t>VARBERG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46283</v>
      </c>
      <c r="F218" t="inlineStr">
        <is>
          <t>HALLANDS LÄN</t>
        </is>
      </c>
      <c r="G218" t="inlineStr">
        <is>
          <t>VARBERG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46283</v>
      </c>
      <c r="F219" t="inlineStr">
        <is>
          <t>HALLANDS LÄN</t>
        </is>
      </c>
      <c r="G219" t="inlineStr">
        <is>
          <t>VARBERG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46283</v>
      </c>
      <c r="F220" t="inlineStr">
        <is>
          <t>HALLANDS LÄN</t>
        </is>
      </c>
      <c r="G220" t="inlineStr">
        <is>
          <t>VARBERG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46283</v>
      </c>
      <c r="F221" t="inlineStr">
        <is>
          <t>HALLANDS LÄN</t>
        </is>
      </c>
      <c r="G221" t="inlineStr">
        <is>
          <t>VARBERG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45455</v>
      </c>
      <c r="E222" s="1" t="n">
        <v>46283</v>
      </c>
      <c r="F222" t="inlineStr">
        <is>
          <t>HALLANDS LÄN</t>
        </is>
      </c>
      <c r="G222" t="inlineStr">
        <is>
          <t>VARBERG</t>
        </is>
      </c>
      <c r="H222" t="inlineStr">
        <is>
          <t>Kyrkan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48027-2025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46283</v>
      </c>
      <c r="F223" t="inlineStr">
        <is>
          <t>HALLANDS LÄN</t>
        </is>
      </c>
      <c r="G223" t="inlineStr">
        <is>
          <t>VARBERG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45275</v>
      </c>
      <c r="E224" s="1" t="n">
        <v>46283</v>
      </c>
      <c r="F224" t="inlineStr">
        <is>
          <t>HALLANDS LÄN</t>
        </is>
      </c>
      <c r="G224" t="inlineStr">
        <is>
          <t>VARBERG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45369</v>
      </c>
      <c r="E225" s="1" t="n">
        <v>46283</v>
      </c>
      <c r="F225" t="inlineStr">
        <is>
          <t>HALLANDS LÄN</t>
        </is>
      </c>
      <c r="G225" t="inlineStr">
        <is>
          <t>VARBERG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46283</v>
      </c>
      <c r="F226" t="inlineStr">
        <is>
          <t>HALLANDS LÄN</t>
        </is>
      </c>
      <c r="G226" t="inlineStr">
        <is>
          <t>VARBERG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54048-2021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44470</v>
      </c>
      <c r="E227" s="1" t="n">
        <v>46283</v>
      </c>
      <c r="F227" t="inlineStr">
        <is>
          <t>HALLANDS LÄN</t>
        </is>
      </c>
      <c r="G227" t="inlineStr">
        <is>
          <t>VARBERG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45881</v>
      </c>
      <c r="E228" s="1" t="n">
        <v>46283</v>
      </c>
      <c r="F228" t="inlineStr">
        <is>
          <t>HALLANDS LÄN</t>
        </is>
      </c>
      <c r="G228" t="inlineStr">
        <is>
          <t>VARBERG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45336</v>
      </c>
      <c r="E229" s="1" t="n">
        <v>46283</v>
      </c>
      <c r="F229" t="inlineStr">
        <is>
          <t>HALLANDS LÄN</t>
        </is>
      </c>
      <c r="G229" t="inlineStr">
        <is>
          <t>VARBERG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45404</v>
      </c>
      <c r="E230" s="1" t="n">
        <v>46283</v>
      </c>
      <c r="F230" t="inlineStr">
        <is>
          <t>HALLANDS LÄN</t>
        </is>
      </c>
      <c r="G230" t="inlineStr">
        <is>
          <t>VARBERG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46283</v>
      </c>
      <c r="F231" t="inlineStr">
        <is>
          <t>HALLANDS LÄN</t>
        </is>
      </c>
      <c r="G231" t="inlineStr">
        <is>
          <t>VARBERG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46283</v>
      </c>
      <c r="F232" t="inlineStr">
        <is>
          <t>HALLANDS LÄN</t>
        </is>
      </c>
      <c r="G232" t="inlineStr">
        <is>
          <t>VARBERG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45344</v>
      </c>
      <c r="E233" s="1" t="n">
        <v>46283</v>
      </c>
      <c r="F233" t="inlineStr">
        <is>
          <t>HALLANDS LÄN</t>
        </is>
      </c>
      <c r="G233" t="inlineStr">
        <is>
          <t>VARBERG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46283</v>
      </c>
      <c r="F234" t="inlineStr">
        <is>
          <t>HALLANDS LÄN</t>
        </is>
      </c>
      <c r="G234" t="inlineStr">
        <is>
          <t>VARBERG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46283</v>
      </c>
      <c r="F235" t="inlineStr">
        <is>
          <t>HALLANDS LÄN</t>
        </is>
      </c>
      <c r="G235" t="inlineStr">
        <is>
          <t>VARBERG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23167-2026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46161</v>
      </c>
      <c r="E236" s="1" t="n">
        <v>46283</v>
      </c>
      <c r="F236" t="inlineStr">
        <is>
          <t>HALLANDS LÄN</t>
        </is>
      </c>
      <c r="G236" t="inlineStr">
        <is>
          <t>VARBERG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46283</v>
      </c>
      <c r="F237" t="inlineStr">
        <is>
          <t>HALLANDS LÄN</t>
        </is>
      </c>
      <c r="G237" t="inlineStr">
        <is>
          <t>VARBERG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44985</v>
      </c>
      <c r="E238" s="1" t="n">
        <v>46283</v>
      </c>
      <c r="F238" t="inlineStr">
        <is>
          <t>HALLANDS LÄN</t>
        </is>
      </c>
      <c r="G238" t="inlineStr">
        <is>
          <t>VARBERG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46161</v>
      </c>
      <c r="E239" s="1" t="n">
        <v>46283</v>
      </c>
      <c r="F239" t="inlineStr">
        <is>
          <t>HALLANDS LÄN</t>
        </is>
      </c>
      <c r="G239" t="inlineStr">
        <is>
          <t>VARBERG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44827</v>
      </c>
      <c r="E240" s="1" t="n">
        <v>46283</v>
      </c>
      <c r="F240" t="inlineStr">
        <is>
          <t>HALLANDS LÄN</t>
        </is>
      </c>
      <c r="G240" t="inlineStr">
        <is>
          <t>VARBERG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23641-2026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46164</v>
      </c>
      <c r="E241" s="1" t="n">
        <v>46283</v>
      </c>
      <c r="F241" t="inlineStr">
        <is>
          <t>HALLANDS LÄN</t>
        </is>
      </c>
      <c r="G241" t="inlineStr">
        <is>
          <t>VARBERG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46283</v>
      </c>
      <c r="F242" t="inlineStr">
        <is>
          <t>HALLANDS LÄN</t>
        </is>
      </c>
      <c r="G242" t="inlineStr">
        <is>
          <t>VARBERG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71841-2021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44543</v>
      </c>
      <c r="E243" s="1" t="n">
        <v>46283</v>
      </c>
      <c r="F243" t="inlineStr">
        <is>
          <t>HALLANDS LÄN</t>
        </is>
      </c>
      <c r="G243" t="inlineStr">
        <is>
          <t>VARBERG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46283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46283</v>
      </c>
      <c r="F245" t="inlineStr">
        <is>
          <t>HALLANDS LÄN</t>
        </is>
      </c>
      <c r="G245" t="inlineStr">
        <is>
          <t>VARBERG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45580</v>
      </c>
      <c r="E246" s="1" t="n">
        <v>46283</v>
      </c>
      <c r="F246" t="inlineStr">
        <is>
          <t>HALLANDS LÄN</t>
        </is>
      </c>
      <c r="G246" t="inlineStr">
        <is>
          <t>VARBERG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46283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9235-2023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44980</v>
      </c>
      <c r="E248" s="1" t="n">
        <v>46283</v>
      </c>
      <c r="F248" t="inlineStr">
        <is>
          <t>HALLANDS LÄN</t>
        </is>
      </c>
      <c r="G248" t="inlineStr">
        <is>
          <t>VARBERG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24041-2026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46283</v>
      </c>
      <c r="F249" t="inlineStr">
        <is>
          <t>HALLANDS LÄN</t>
        </is>
      </c>
      <c r="G249" t="inlineStr">
        <is>
          <t>VARBERG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44595</v>
      </c>
      <c r="E250" s="1" t="n">
        <v>46283</v>
      </c>
      <c r="F250" t="inlineStr">
        <is>
          <t>HALLANDS LÄN</t>
        </is>
      </c>
      <c r="G250" t="inlineStr">
        <is>
          <t>VARBERG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64767-2023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45281</v>
      </c>
      <c r="E251" s="1" t="n">
        <v>46283</v>
      </c>
      <c r="F251" t="inlineStr">
        <is>
          <t>HALLANDS LÄN</t>
        </is>
      </c>
      <c r="G251" t="inlineStr">
        <is>
          <t>VARBERG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44607</v>
      </c>
      <c r="E252" s="1" t="n">
        <v>46283</v>
      </c>
      <c r="F252" t="inlineStr">
        <is>
          <t>HALLANDS LÄN</t>
        </is>
      </c>
      <c r="G252" t="inlineStr">
        <is>
          <t>VARBERG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44981</v>
      </c>
      <c r="E253" s="1" t="n">
        <v>46283</v>
      </c>
      <c r="F253" t="inlineStr">
        <is>
          <t>HALLANDS LÄN</t>
        </is>
      </c>
      <c r="G253" t="inlineStr">
        <is>
          <t>VARBERG</t>
        </is>
      </c>
      <c r="I253" t="n">
        <v>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46283</v>
      </c>
      <c r="F254" t="inlineStr">
        <is>
          <t>HALLANDS LÄN</t>
        </is>
      </c>
      <c r="G254" t="inlineStr">
        <is>
          <t>VARBERG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46283</v>
      </c>
      <c r="F255" t="inlineStr">
        <is>
          <t>HALLANDS LÄN</t>
        </is>
      </c>
      <c r="G255" t="inlineStr">
        <is>
          <t>VARBERG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45246</v>
      </c>
      <c r="E256" s="1" t="n">
        <v>46283</v>
      </c>
      <c r="F256" t="inlineStr">
        <is>
          <t>HALLANDS LÄN</t>
        </is>
      </c>
      <c r="G256" t="inlineStr">
        <is>
          <t>VARBERG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46283</v>
      </c>
      <c r="F257" t="inlineStr">
        <is>
          <t>HALLANDS LÄN</t>
        </is>
      </c>
      <c r="G257" t="inlineStr">
        <is>
          <t>VARBERG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46175</v>
      </c>
      <c r="E258" s="1" t="n">
        <v>46283</v>
      </c>
      <c r="F258" t="inlineStr">
        <is>
          <t>HALLANDS LÄN</t>
        </is>
      </c>
      <c r="G258" t="inlineStr">
        <is>
          <t>VARBERG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46283</v>
      </c>
      <c r="F259" t="inlineStr">
        <is>
          <t>HALLANDS LÄN</t>
        </is>
      </c>
      <c r="G259" t="inlineStr">
        <is>
          <t>VARBERG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46283</v>
      </c>
      <c r="F260" t="inlineStr">
        <is>
          <t>HALLANDS LÄN</t>
        </is>
      </c>
      <c r="G260" t="inlineStr">
        <is>
          <t>VARBERG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70040-2021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44533</v>
      </c>
      <c r="E261" s="1" t="n">
        <v>46283</v>
      </c>
      <c r="F261" t="inlineStr">
        <is>
          <t>HALLANDS LÄN</t>
        </is>
      </c>
      <c r="G261" t="inlineStr">
        <is>
          <t>VARBERG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46283</v>
      </c>
      <c r="F262" t="inlineStr">
        <is>
          <t>HALLANDS LÄN</t>
        </is>
      </c>
      <c r="G262" t="inlineStr">
        <is>
          <t>VARBERG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46283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46283</v>
      </c>
      <c r="F264" t="inlineStr">
        <is>
          <t>HALLANDS LÄN</t>
        </is>
      </c>
      <c r="G264" t="inlineStr">
        <is>
          <t>VARBERG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46283</v>
      </c>
      <c r="F265" t="inlineStr">
        <is>
          <t>HALLANDS LÄN</t>
        </is>
      </c>
      <c r="G265" t="inlineStr">
        <is>
          <t>VARBERG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45422</v>
      </c>
      <c r="E266" s="1" t="n">
        <v>46283</v>
      </c>
      <c r="F266" t="inlineStr">
        <is>
          <t>HALLANDS LÄN</t>
        </is>
      </c>
      <c r="G266" t="inlineStr">
        <is>
          <t>VARBERG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45954</v>
      </c>
      <c r="E267" s="1" t="n">
        <v>46283</v>
      </c>
      <c r="F267" t="inlineStr">
        <is>
          <t>HALLANDS LÄN</t>
        </is>
      </c>
      <c r="G267" t="inlineStr">
        <is>
          <t>VARBERG</t>
        </is>
      </c>
      <c r="H267" t="inlineStr">
        <is>
          <t>Kyrkan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45434</v>
      </c>
      <c r="E268" s="1" t="n">
        <v>46283</v>
      </c>
      <c r="F268" t="inlineStr">
        <is>
          <t>HALLANDS LÄN</t>
        </is>
      </c>
      <c r="G268" t="inlineStr">
        <is>
          <t>VARBERG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26202-2026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46283</v>
      </c>
      <c r="F269" t="inlineStr">
        <is>
          <t>HALLANDS LÄN</t>
        </is>
      </c>
      <c r="G269" t="inlineStr">
        <is>
          <t>VARBERG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10688-2025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45722</v>
      </c>
      <c r="E270" s="1" t="n">
        <v>46283</v>
      </c>
      <c r="F270" t="inlineStr">
        <is>
          <t>HALLANDS LÄN</t>
        </is>
      </c>
      <c r="G270" t="inlineStr">
        <is>
          <t>VARBERG</t>
        </is>
      </c>
      <c r="I270" t="n">
        <v>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45487</v>
      </c>
      <c r="E271" s="1" t="n">
        <v>46283</v>
      </c>
      <c r="F271" t="inlineStr">
        <is>
          <t>HALLANDS LÄN</t>
        </is>
      </c>
      <c r="G271" t="inlineStr">
        <is>
          <t>VARBERG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46283</v>
      </c>
      <c r="F272" t="inlineStr">
        <is>
          <t>HALLANDS LÄN</t>
        </is>
      </c>
      <c r="G272" t="inlineStr">
        <is>
          <t>VARBERG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44967</v>
      </c>
      <c r="E273" s="1" t="n">
        <v>46283</v>
      </c>
      <c r="F273" t="inlineStr">
        <is>
          <t>HALLANDS LÄN</t>
        </is>
      </c>
      <c r="G273" t="inlineStr">
        <is>
          <t>VARBERG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45086</v>
      </c>
      <c r="E274" s="1" t="n">
        <v>46283</v>
      </c>
      <c r="F274" t="inlineStr">
        <is>
          <t>HALLANDS LÄN</t>
        </is>
      </c>
      <c r="G274" t="inlineStr">
        <is>
          <t>VARBERG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45075</v>
      </c>
      <c r="E275" s="1" t="n">
        <v>46283</v>
      </c>
      <c r="F275" t="inlineStr">
        <is>
          <t>HALLANDS LÄN</t>
        </is>
      </c>
      <c r="G275" t="inlineStr">
        <is>
          <t>VARBERG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46283</v>
      </c>
      <c r="F276" t="inlineStr">
        <is>
          <t>HALLANDS LÄN</t>
        </is>
      </c>
      <c r="G276" t="inlineStr">
        <is>
          <t>VARBERG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46283</v>
      </c>
      <c r="F277" t="inlineStr">
        <is>
          <t>HALLANDS LÄN</t>
        </is>
      </c>
      <c r="G277" t="inlineStr">
        <is>
          <t>VARBERG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46283</v>
      </c>
      <c r="F278" t="inlineStr">
        <is>
          <t>HALLANDS LÄN</t>
        </is>
      </c>
      <c r="G278" t="inlineStr">
        <is>
          <t>VARBERG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53535-2025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46283</v>
      </c>
      <c r="F279" t="inlineStr">
        <is>
          <t>HALLANDS LÄN</t>
        </is>
      </c>
      <c r="G279" t="inlineStr">
        <is>
          <t>VARBERG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46283</v>
      </c>
      <c r="F280" t="inlineStr">
        <is>
          <t>HALLANDS LÄN</t>
        </is>
      </c>
      <c r="G280" t="inlineStr">
        <is>
          <t>VARBERG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53547-2025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46283</v>
      </c>
      <c r="F281" t="inlineStr">
        <is>
          <t>HALLANDS LÄN</t>
        </is>
      </c>
      <c r="G281" t="inlineStr">
        <is>
          <t>VARBERG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46283</v>
      </c>
      <c r="F282" t="inlineStr">
        <is>
          <t>HALLANDS LÄN</t>
        </is>
      </c>
      <c r="G282" t="inlineStr">
        <is>
          <t>VARBERG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46283</v>
      </c>
      <c r="F283" t="inlineStr">
        <is>
          <t>HALLANDS LÄN</t>
        </is>
      </c>
      <c r="G283" t="inlineStr">
        <is>
          <t>VARBERG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45727</v>
      </c>
      <c r="E284" s="1" t="n">
        <v>46283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46283</v>
      </c>
      <c r="F285" t="inlineStr">
        <is>
          <t>HALLANDS LÄN</t>
        </is>
      </c>
      <c r="G285" t="inlineStr">
        <is>
          <t>VARBERG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46283</v>
      </c>
      <c r="F286" t="inlineStr">
        <is>
          <t>HALLANDS LÄN</t>
        </is>
      </c>
      <c r="G286" t="inlineStr">
        <is>
          <t>VARBERG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28263-2026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46283</v>
      </c>
      <c r="F287" t="inlineStr">
        <is>
          <t>HALLANDS LÄN</t>
        </is>
      </c>
      <c r="G287" t="inlineStr">
        <is>
          <t>VARBERG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46196</v>
      </c>
      <c r="E288" s="1" t="n">
        <v>46283</v>
      </c>
      <c r="F288" t="inlineStr">
        <is>
          <t>HALLANDS LÄN</t>
        </is>
      </c>
      <c r="G288" t="inlineStr">
        <is>
          <t>VARBERG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13782-2022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44649</v>
      </c>
      <c r="E289" s="1" t="n">
        <v>46283</v>
      </c>
      <c r="F289" t="inlineStr">
        <is>
          <t>HALLANDS LÄN</t>
        </is>
      </c>
      <c r="G289" t="inlineStr">
        <is>
          <t>VARBERG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46283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46283</v>
      </c>
      <c r="F291" t="inlineStr">
        <is>
          <t>HALLANDS LÄN</t>
        </is>
      </c>
      <c r="G291" t="inlineStr">
        <is>
          <t>VARBERG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46283</v>
      </c>
      <c r="F292" t="inlineStr">
        <is>
          <t>HALLANDS LÄN</t>
        </is>
      </c>
      <c r="G292" t="inlineStr">
        <is>
          <t>VARBERG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46283</v>
      </c>
      <c r="F293" t="inlineStr">
        <is>
          <t>HALLANDS LÄN</t>
        </is>
      </c>
      <c r="G293" t="inlineStr">
        <is>
          <t>VARBERG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46283</v>
      </c>
      <c r="F294" t="inlineStr">
        <is>
          <t>HALLANDS LÄN</t>
        </is>
      </c>
      <c r="G294" t="inlineStr">
        <is>
          <t>VARBERG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46283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45182</v>
      </c>
      <c r="E296" s="1" t="n">
        <v>46283</v>
      </c>
      <c r="F296" t="inlineStr">
        <is>
          <t>HALLANDS LÄN</t>
        </is>
      </c>
      <c r="G296" t="inlineStr">
        <is>
          <t>VARBERG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46283</v>
      </c>
      <c r="F297" t="inlineStr">
        <is>
          <t>HALLANDS LÄN</t>
        </is>
      </c>
      <c r="G297" t="inlineStr">
        <is>
          <t>VARBERG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46141</v>
      </c>
      <c r="E298" s="1" t="n">
        <v>46283</v>
      </c>
      <c r="F298" t="inlineStr">
        <is>
          <t>HALLANDS LÄN</t>
        </is>
      </c>
      <c r="G298" t="inlineStr">
        <is>
          <t>VARBERG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46283</v>
      </c>
      <c r="F299" t="inlineStr">
        <is>
          <t>HALLANDS LÄN</t>
        </is>
      </c>
      <c r="G299" t="inlineStr">
        <is>
          <t>VARBERG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46283</v>
      </c>
      <c r="F300" t="inlineStr">
        <is>
          <t>HALLANDS LÄN</t>
        </is>
      </c>
      <c r="G300" t="inlineStr">
        <is>
          <t>VARBERG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46283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46283</v>
      </c>
      <c r="F302" t="inlineStr">
        <is>
          <t>HALLANDS LÄN</t>
        </is>
      </c>
      <c r="G302" t="inlineStr">
        <is>
          <t>VARBERG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46283</v>
      </c>
      <c r="F303" t="inlineStr">
        <is>
          <t>HALLANDS LÄN</t>
        </is>
      </c>
      <c r="G303" t="inlineStr">
        <is>
          <t>VARBERG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46283</v>
      </c>
      <c r="F304" t="inlineStr">
        <is>
          <t>HALLANDS LÄN</t>
        </is>
      </c>
      <c r="G304" t="inlineStr">
        <is>
          <t>VARBERG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46283</v>
      </c>
      <c r="F305" t="inlineStr">
        <is>
          <t>HALLANDS LÄN</t>
        </is>
      </c>
      <c r="G305" t="inlineStr">
        <is>
          <t>VARBERG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46283</v>
      </c>
      <c r="F306" t="inlineStr">
        <is>
          <t>HALLANDS LÄN</t>
        </is>
      </c>
      <c r="G306" t="inlineStr">
        <is>
          <t>VARBERG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46283</v>
      </c>
      <c r="F307" t="inlineStr">
        <is>
          <t>HALLANDS LÄN</t>
        </is>
      </c>
      <c r="G307" t="inlineStr">
        <is>
          <t>VARBERG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45140</v>
      </c>
      <c r="E308" s="1" t="n">
        <v>46283</v>
      </c>
      <c r="F308" t="inlineStr">
        <is>
          <t>HALLANDS LÄN</t>
        </is>
      </c>
      <c r="G308" t="inlineStr">
        <is>
          <t>VARBERG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46283</v>
      </c>
      <c r="F309" t="inlineStr">
        <is>
          <t>HALLANDS LÄN</t>
        </is>
      </c>
      <c r="G309" t="inlineStr">
        <is>
          <t>VARBERG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21992-2022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46283</v>
      </c>
      <c r="F310" t="inlineStr">
        <is>
          <t>HALLANDS LÄN</t>
        </is>
      </c>
      <c r="G310" t="inlineStr">
        <is>
          <t>VARBERG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61075-2023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45261</v>
      </c>
      <c r="E311" s="1" t="n">
        <v>46283</v>
      </c>
      <c r="F311" t="inlineStr">
        <is>
          <t>HALLANDS LÄN</t>
        </is>
      </c>
      <c r="G311" t="inlineStr">
        <is>
          <t>VARBERG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46283</v>
      </c>
      <c r="F312" t="inlineStr">
        <is>
          <t>HALLANDS LÄN</t>
        </is>
      </c>
      <c r="G312" t="inlineStr">
        <is>
          <t>VARBERG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46283</v>
      </c>
      <c r="F313" t="inlineStr">
        <is>
          <t>HALLANDS LÄN</t>
        </is>
      </c>
      <c r="G313" t="inlineStr">
        <is>
          <t>VARBERG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44649</v>
      </c>
      <c r="E314" s="1" t="n">
        <v>46283</v>
      </c>
      <c r="F314" t="inlineStr">
        <is>
          <t>HALLANDS LÄN</t>
        </is>
      </c>
      <c r="G314" t="inlineStr">
        <is>
          <t>VARBERG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46283</v>
      </c>
      <c r="F315" t="inlineStr">
        <is>
          <t>HALLANDS LÄN</t>
        </is>
      </c>
      <c r="G315" t="inlineStr">
        <is>
          <t>VARBERG</t>
        </is>
      </c>
      <c r="H315" t="inlineStr">
        <is>
          <t>Övriga statliga verk och myndigheter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41961-2023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45177</v>
      </c>
      <c r="E316" s="1" t="n">
        <v>46283</v>
      </c>
      <c r="F316" t="inlineStr">
        <is>
          <t>HALLANDS LÄN</t>
        </is>
      </c>
      <c r="G316" t="inlineStr">
        <is>
          <t>VARBERG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58722-2025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46283</v>
      </c>
      <c r="F317" t="inlineStr">
        <is>
          <t>HALLANDS LÄN</t>
        </is>
      </c>
      <c r="G317" t="inlineStr">
        <is>
          <t>VARBERG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46283</v>
      </c>
      <c r="F318" t="inlineStr">
        <is>
          <t>HALLANDS LÄN</t>
        </is>
      </c>
      <c r="G318" t="inlineStr">
        <is>
          <t>VARBERG</t>
        </is>
      </c>
      <c r="H318" t="inlineStr">
        <is>
          <t>Övriga statliga verk och myndigheter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34307-2026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46254</v>
      </c>
      <c r="E319" s="1" t="n">
        <v>46283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46283</v>
      </c>
      <c r="F320" t="inlineStr">
        <is>
          <t>HALLANDS LÄN</t>
        </is>
      </c>
      <c r="G320" t="inlineStr">
        <is>
          <t>VARBERG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46283</v>
      </c>
      <c r="F321" t="inlineStr">
        <is>
          <t>HALLANDS LÄN</t>
        </is>
      </c>
      <c r="G321" t="inlineStr">
        <is>
          <t>VARBERG</t>
        </is>
      </c>
      <c r="H321" t="inlineStr">
        <is>
          <t>Kyrkan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45401</v>
      </c>
      <c r="E322" s="1" t="n">
        <v>46283</v>
      </c>
      <c r="F322" t="inlineStr">
        <is>
          <t>HALLANDS LÄN</t>
        </is>
      </c>
      <c r="G322" t="inlineStr">
        <is>
          <t>VARBERG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46283</v>
      </c>
      <c r="F323" t="inlineStr">
        <is>
          <t>HALLANDS LÄN</t>
        </is>
      </c>
      <c r="G323" t="inlineStr">
        <is>
          <t>VARBERG</t>
        </is>
      </c>
      <c r="H323" t="inlineStr">
        <is>
          <t>Övriga statliga verk och myndigheter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46210</v>
      </c>
      <c r="E324" s="1" t="n">
        <v>46283</v>
      </c>
      <c r="F324" t="inlineStr">
        <is>
          <t>HALLANDS LÄN</t>
        </is>
      </c>
      <c r="G324" t="inlineStr">
        <is>
          <t>VARBERG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46283</v>
      </c>
      <c r="F325" t="inlineStr">
        <is>
          <t>HALLANDS LÄN</t>
        </is>
      </c>
      <c r="G325" t="inlineStr">
        <is>
          <t>VARBERG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46283</v>
      </c>
      <c r="F326" t="inlineStr">
        <is>
          <t>HALLANDS LÄN</t>
        </is>
      </c>
      <c r="G326" t="inlineStr">
        <is>
          <t>VARBERG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37594-2023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46283</v>
      </c>
      <c r="F327" t="inlineStr">
        <is>
          <t>HALLANDS LÄN</t>
        </is>
      </c>
      <c r="G327" t="inlineStr">
        <is>
          <t>VARBERG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46283</v>
      </c>
      <c r="F328" t="inlineStr">
        <is>
          <t>HALLANDS LÄN</t>
        </is>
      </c>
      <c r="G328" t="inlineStr">
        <is>
          <t>VARBERG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46283</v>
      </c>
      <c r="F329" t="inlineStr">
        <is>
          <t>HALLANDS LÄN</t>
        </is>
      </c>
      <c r="G329" t="inlineStr">
        <is>
          <t>VARBERG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64203-2023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45279</v>
      </c>
      <c r="E330" s="1" t="n">
        <v>46283</v>
      </c>
      <c r="F330" t="inlineStr">
        <is>
          <t>HALLANDS LÄN</t>
        </is>
      </c>
      <c r="G330" t="inlineStr">
        <is>
          <t>VARBERG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46283</v>
      </c>
      <c r="F331" t="inlineStr">
        <is>
          <t>HALLANDS LÄN</t>
        </is>
      </c>
      <c r="G331" t="inlineStr">
        <is>
          <t>VARBERG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46255</v>
      </c>
      <c r="E332" s="1" t="n">
        <v>46283</v>
      </c>
      <c r="F332" t="inlineStr">
        <is>
          <t>HALLANDS LÄN</t>
        </is>
      </c>
      <c r="G332" t="inlineStr">
        <is>
          <t>VARBERG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46283</v>
      </c>
      <c r="F333" t="inlineStr">
        <is>
          <t>HALLANDS LÄN</t>
        </is>
      </c>
      <c r="G333" t="inlineStr">
        <is>
          <t>VARBERG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46283</v>
      </c>
      <c r="F334" t="inlineStr">
        <is>
          <t>HALLANDS LÄN</t>
        </is>
      </c>
      <c r="G334" t="inlineStr">
        <is>
          <t>VARBERG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46283</v>
      </c>
      <c r="F335" t="inlineStr">
        <is>
          <t>HALLANDS LÄN</t>
        </is>
      </c>
      <c r="G335" t="inlineStr">
        <is>
          <t>VARBERG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46255</v>
      </c>
      <c r="E336" s="1" t="n">
        <v>46283</v>
      </c>
      <c r="F336" t="inlineStr">
        <is>
          <t>HALLANDS LÄN</t>
        </is>
      </c>
      <c r="G336" t="inlineStr">
        <is>
          <t>VARBERG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4598-2024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45328</v>
      </c>
      <c r="E337" s="1" t="n">
        <v>46283</v>
      </c>
      <c r="F337" t="inlineStr">
        <is>
          <t>HALLANDS LÄN</t>
        </is>
      </c>
      <c r="G337" t="inlineStr">
        <is>
          <t>VARBERG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45397</v>
      </c>
      <c r="E338" s="1" t="n">
        <v>46283</v>
      </c>
      <c r="F338" t="inlineStr">
        <is>
          <t>HALLANDS LÄN</t>
        </is>
      </c>
      <c r="G338" t="inlineStr">
        <is>
          <t>VARBERG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51932-2024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45607</v>
      </c>
      <c r="E339" s="1" t="n">
        <v>46283</v>
      </c>
      <c r="F339" t="inlineStr">
        <is>
          <t>HALLANDS LÄN</t>
        </is>
      </c>
      <c r="G339" t="inlineStr">
        <is>
          <t>VARBERG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9614-2024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45361</v>
      </c>
      <c r="E340" s="1" t="n">
        <v>46283</v>
      </c>
      <c r="F340" t="inlineStr">
        <is>
          <t>HALLANDS LÄN</t>
        </is>
      </c>
      <c r="G340" t="inlineStr">
        <is>
          <t>VARBERG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45513</v>
      </c>
      <c r="E341" s="1" t="n">
        <v>46283</v>
      </c>
      <c r="F341" t="inlineStr">
        <is>
          <t>HALLANDS LÄN</t>
        </is>
      </c>
      <c r="G341" t="inlineStr">
        <is>
          <t>VARBERG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9925-2025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45717</v>
      </c>
      <c r="E342" s="1" t="n">
        <v>46283</v>
      </c>
      <c r="F342" t="inlineStr">
        <is>
          <t>HALLANDS LÄN</t>
        </is>
      </c>
      <c r="G342" t="inlineStr">
        <is>
          <t>VARBERG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46283</v>
      </c>
      <c r="F343" t="inlineStr">
        <is>
          <t>HALLANDS LÄN</t>
        </is>
      </c>
      <c r="G343" t="inlineStr">
        <is>
          <t>VARBERG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2464-2024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45313</v>
      </c>
      <c r="E344" s="1" t="n">
        <v>46283</v>
      </c>
      <c r="F344" t="inlineStr">
        <is>
          <t>HALLANDS LÄN</t>
        </is>
      </c>
      <c r="G344" t="inlineStr">
        <is>
          <t>VARBERG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46771-2022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44851</v>
      </c>
      <c r="E345" s="1" t="n">
        <v>46283</v>
      </c>
      <c r="F345" t="inlineStr">
        <is>
          <t>HALLANDS LÄN</t>
        </is>
      </c>
      <c r="G345" t="inlineStr">
        <is>
          <t>VARBERG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46283</v>
      </c>
      <c r="F346" t="inlineStr">
        <is>
          <t>HALLANDS LÄN</t>
        </is>
      </c>
      <c r="G346" t="inlineStr">
        <is>
          <t>VARBERG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46003</v>
      </c>
      <c r="E347" s="1" t="n">
        <v>46283</v>
      </c>
      <c r="F347" t="inlineStr">
        <is>
          <t>HALLANDS LÄN</t>
        </is>
      </c>
      <c r="G347" t="inlineStr">
        <is>
          <t>VARBERG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45819</v>
      </c>
      <c r="E348" s="1" t="n">
        <v>46283</v>
      </c>
      <c r="F348" t="inlineStr">
        <is>
          <t>HALLANDS LÄN</t>
        </is>
      </c>
      <c r="G348" t="inlineStr">
        <is>
          <t>VARBERG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62942-2023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46283</v>
      </c>
      <c r="F349" t="inlineStr">
        <is>
          <t>HALLANDS LÄN</t>
        </is>
      </c>
      <c r="G349" t="inlineStr">
        <is>
          <t>VARBERG</t>
        </is>
      </c>
      <c r="I349" t="n">
        <v>7.5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46268</v>
      </c>
      <c r="E350" s="1" t="n">
        <v>46283</v>
      </c>
      <c r="F350" t="inlineStr">
        <is>
          <t>HALLANDS LÄN</t>
        </is>
      </c>
      <c r="G350" t="inlineStr">
        <is>
          <t>VARBERG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46283</v>
      </c>
      <c r="F351" t="inlineStr">
        <is>
          <t>HALLANDS LÄN</t>
        </is>
      </c>
      <c r="G351" t="inlineStr">
        <is>
          <t>VARBERG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15426-2024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45401</v>
      </c>
      <c r="E352" s="1" t="n">
        <v>46283</v>
      </c>
      <c r="F352" t="inlineStr">
        <is>
          <t>HALLANDS LÄN</t>
        </is>
      </c>
      <c r="G352" t="inlineStr">
        <is>
          <t>VARBERG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36423-2026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46269</v>
      </c>
      <c r="E353" s="1" t="n">
        <v>46283</v>
      </c>
      <c r="F353" t="inlineStr">
        <is>
          <t>HALLANDS LÄN</t>
        </is>
      </c>
      <c r="G353" t="inlineStr">
        <is>
          <t>VARBERG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46007</v>
      </c>
      <c r="E354" s="1" t="n">
        <v>46283</v>
      </c>
      <c r="F354" t="inlineStr">
        <is>
          <t>HALLANDS LÄN</t>
        </is>
      </c>
      <c r="G354" t="inlineStr">
        <is>
          <t>VARBERG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46283</v>
      </c>
      <c r="F355" t="inlineStr">
        <is>
          <t>HALLANDS LÄN</t>
        </is>
      </c>
      <c r="G355" t="inlineStr">
        <is>
          <t>VARBERG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62608-2025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46008</v>
      </c>
      <c r="E356" s="1" t="n">
        <v>46283</v>
      </c>
      <c r="F356" t="inlineStr">
        <is>
          <t>HALLANDS LÄN</t>
        </is>
      </c>
      <c r="G356" t="inlineStr">
        <is>
          <t>VARBERG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62356-2025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46007</v>
      </c>
      <c r="E357" s="1" t="n">
        <v>46283</v>
      </c>
      <c r="F357" t="inlineStr">
        <is>
          <t>HALLANDS LÄN</t>
        </is>
      </c>
      <c r="G357" t="inlineStr">
        <is>
          <t>VARBERG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60556-2023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46283</v>
      </c>
      <c r="F358" t="inlineStr">
        <is>
          <t>HALLANDS LÄN</t>
        </is>
      </c>
      <c r="G358" t="inlineStr">
        <is>
          <t>VARBERG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36425-2026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46269</v>
      </c>
      <c r="E359" s="1" t="n">
        <v>46283</v>
      </c>
      <c r="F359" t="inlineStr">
        <is>
          <t>HALLANDS LÄN</t>
        </is>
      </c>
      <c r="G359" t="inlineStr">
        <is>
          <t>VARBERG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45238</v>
      </c>
      <c r="E360" s="1" t="n">
        <v>46283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46010</v>
      </c>
      <c r="E361" s="1" t="n">
        <v>46283</v>
      </c>
      <c r="F361" t="inlineStr">
        <is>
          <t>HALLANDS LÄN</t>
        </is>
      </c>
      <c r="G361" t="inlineStr">
        <is>
          <t>VARBERG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46283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46273</v>
      </c>
      <c r="E363" s="1" t="n">
        <v>46283</v>
      </c>
      <c r="F363" t="inlineStr">
        <is>
          <t>HALLANDS LÄN</t>
        </is>
      </c>
      <c r="G363" t="inlineStr">
        <is>
          <t>VARBERG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62612-2025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46008</v>
      </c>
      <c r="E364" s="1" t="n">
        <v>46283</v>
      </c>
      <c r="F364" t="inlineStr">
        <is>
          <t>HALLANDS LÄN</t>
        </is>
      </c>
      <c r="G364" t="inlineStr">
        <is>
          <t>VARBERG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46283</v>
      </c>
      <c r="F365" t="inlineStr">
        <is>
          <t>HALLANDS LÄN</t>
        </is>
      </c>
      <c r="G365" t="inlineStr">
        <is>
          <t>VARBERG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46014</v>
      </c>
      <c r="E366" s="1" t="n">
        <v>46283</v>
      </c>
      <c r="F366" t="inlineStr">
        <is>
          <t>HALLANDS LÄN</t>
        </is>
      </c>
      <c r="G366" t="inlineStr">
        <is>
          <t>VARBERG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46014</v>
      </c>
      <c r="E367" s="1" t="n">
        <v>46283</v>
      </c>
      <c r="F367" t="inlineStr">
        <is>
          <t>HALLANDS LÄN</t>
        </is>
      </c>
      <c r="G367" t="inlineStr">
        <is>
          <t>VARBERG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46283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63632-2025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46014</v>
      </c>
      <c r="E369" s="1" t="n">
        <v>46283</v>
      </c>
      <c r="F369" t="inlineStr">
        <is>
          <t>HALLANDS LÄN</t>
        </is>
      </c>
      <c r="G369" t="inlineStr">
        <is>
          <t>VARBERG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63630-2025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46014</v>
      </c>
      <c r="E370" s="1" t="n">
        <v>46283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63637-2025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46014</v>
      </c>
      <c r="E371" s="1" t="n">
        <v>46283</v>
      </c>
      <c r="F371" t="inlineStr">
        <is>
          <t>HALLANDS LÄN</t>
        </is>
      </c>
      <c r="G371" t="inlineStr">
        <is>
          <t>VARBERG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45720</v>
      </c>
      <c r="E372" s="1" t="n">
        <v>46283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46234</v>
      </c>
      <c r="E373" s="1" t="n">
        <v>46283</v>
      </c>
      <c r="F373" t="inlineStr">
        <is>
          <t>HALLANDS LÄN</t>
        </is>
      </c>
      <c r="G373" t="inlineStr">
        <is>
          <t>VARBERG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15260-2024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46283</v>
      </c>
      <c r="F374" t="inlineStr">
        <is>
          <t>HALLANDS LÄN</t>
        </is>
      </c>
      <c r="G374" t="inlineStr">
        <is>
          <t>VARBERG</t>
        </is>
      </c>
      <c r="H374" t="inlineStr">
        <is>
          <t>Kyrkan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10186-2022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44622</v>
      </c>
      <c r="E375" s="1" t="n">
        <v>46283</v>
      </c>
      <c r="F375" t="inlineStr">
        <is>
          <t>HALLANDS LÄN</t>
        </is>
      </c>
      <c r="G375" t="inlineStr">
        <is>
          <t>VARBERG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9819-2022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44620</v>
      </c>
      <c r="E376" s="1" t="n">
        <v>46283</v>
      </c>
      <c r="F376" t="inlineStr">
        <is>
          <t>HALLANDS LÄN</t>
        </is>
      </c>
      <c r="G376" t="inlineStr">
        <is>
          <t>VARBERG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15067-2022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44657</v>
      </c>
      <c r="E377" s="1" t="n">
        <v>46283</v>
      </c>
      <c r="F377" t="inlineStr">
        <is>
          <t>HALLANDS LÄN</t>
        </is>
      </c>
      <c r="G377" t="inlineStr">
        <is>
          <t>VARBERG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57557-2022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46283</v>
      </c>
      <c r="F378" t="inlineStr">
        <is>
          <t>HALLANDS LÄN</t>
        </is>
      </c>
      <c r="G378" t="inlineStr">
        <is>
          <t>VARBERG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46024</v>
      </c>
      <c r="E379" s="1" t="n">
        <v>46283</v>
      </c>
      <c r="F379" t="inlineStr">
        <is>
          <t>HALLANDS LÄN</t>
        </is>
      </c>
      <c r="G379" t="inlineStr">
        <is>
          <t>VARBERG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46279</v>
      </c>
      <c r="E380" s="1" t="n">
        <v>46283</v>
      </c>
      <c r="F380" t="inlineStr">
        <is>
          <t>HALLANDS LÄN</t>
        </is>
      </c>
      <c r="G380" t="inlineStr">
        <is>
          <t>VARBERG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51535-2023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45222</v>
      </c>
      <c r="E381" s="1" t="n">
        <v>46283</v>
      </c>
      <c r="F381" t="inlineStr">
        <is>
          <t>HALLANDS LÄN</t>
        </is>
      </c>
      <c r="G381" t="inlineStr">
        <is>
          <t>VARBERG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46283</v>
      </c>
      <c r="F382" t="inlineStr">
        <is>
          <t>HALLANDS LÄN</t>
        </is>
      </c>
      <c r="G382" t="inlineStr">
        <is>
          <t>VARBERG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54248-2021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44470</v>
      </c>
      <c r="E383" s="1" t="n">
        <v>46283</v>
      </c>
      <c r="F383" t="inlineStr">
        <is>
          <t>HALLANDS LÄN</t>
        </is>
      </c>
      <c r="G383" t="inlineStr">
        <is>
          <t>VARBERG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46280</v>
      </c>
      <c r="E384" s="1" t="n">
        <v>46283</v>
      </c>
      <c r="F384" t="inlineStr">
        <is>
          <t>HALLANDS LÄN</t>
        </is>
      </c>
      <c r="G384" t="inlineStr">
        <is>
          <t>VARBERG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36424-2026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46269</v>
      </c>
      <c r="E385" s="1" t="n">
        <v>46283</v>
      </c>
      <c r="F385" t="inlineStr">
        <is>
          <t>HALLANDS LÄN</t>
        </is>
      </c>
      <c r="G385" t="inlineStr">
        <is>
          <t>VARBERG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48019-2022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46283</v>
      </c>
      <c r="F386" t="inlineStr">
        <is>
          <t>HALLANDS LÄN</t>
        </is>
      </c>
      <c r="G386" t="inlineStr">
        <is>
          <t>VARBERG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45302</v>
      </c>
      <c r="E387" s="1" t="n">
        <v>46283</v>
      </c>
      <c r="F387" t="inlineStr">
        <is>
          <t>HALLANDS LÄN</t>
        </is>
      </c>
      <c r="G387" t="inlineStr">
        <is>
          <t>VARBERG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46281</v>
      </c>
      <c r="E388" s="1" t="n">
        <v>46283</v>
      </c>
      <c r="F388" t="inlineStr">
        <is>
          <t>HALLANDS LÄN</t>
        </is>
      </c>
      <c r="G388" t="inlineStr">
        <is>
          <t>VARBERG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31198-2022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44770</v>
      </c>
      <c r="E389" s="1" t="n">
        <v>46283</v>
      </c>
      <c r="F389" t="inlineStr">
        <is>
          <t>HALLANDS LÄN</t>
        </is>
      </c>
      <c r="G389" t="inlineStr">
        <is>
          <t>VARBERG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44904</v>
      </c>
      <c r="E390" s="1" t="n">
        <v>46283</v>
      </c>
      <c r="F390" t="inlineStr">
        <is>
          <t>HALLANDS LÄN</t>
        </is>
      </c>
      <c r="G390" t="inlineStr">
        <is>
          <t>VARBERG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46283</v>
      </c>
      <c r="F391" t="inlineStr">
        <is>
          <t>HALLANDS LÄN</t>
        </is>
      </c>
      <c r="G391" t="inlineStr">
        <is>
          <t>VARBERG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46281</v>
      </c>
      <c r="E392" s="1" t="n">
        <v>46283</v>
      </c>
      <c r="F392" t="inlineStr">
        <is>
          <t>HALLANDS LÄN</t>
        </is>
      </c>
      <c r="G392" t="inlineStr">
        <is>
          <t>VARBERG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37223-2023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45155</v>
      </c>
      <c r="E393" s="1" t="n">
        <v>46283</v>
      </c>
      <c r="F393" t="inlineStr">
        <is>
          <t>HALLANDS LÄN</t>
        </is>
      </c>
      <c r="G393" t="inlineStr">
        <is>
          <t>VARBERG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14710-2023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45014</v>
      </c>
      <c r="E394" s="1" t="n">
        <v>46283</v>
      </c>
      <c r="F394" t="inlineStr">
        <is>
          <t>HALLANDS LÄN</t>
        </is>
      </c>
      <c r="G394" t="inlineStr">
        <is>
          <t>VARBERG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55038-2022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46283</v>
      </c>
      <c r="F395" t="inlineStr">
        <is>
          <t>HALLANDS LÄN</t>
        </is>
      </c>
      <c r="G395" t="inlineStr">
        <is>
          <t>VARBERG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14536-2023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45013</v>
      </c>
      <c r="E396" s="1" t="n">
        <v>46283</v>
      </c>
      <c r="F396" t="inlineStr">
        <is>
          <t>HALLANDS LÄN</t>
        </is>
      </c>
      <c r="G396" t="inlineStr">
        <is>
          <t>VARBERG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35140-2022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44797</v>
      </c>
      <c r="E397" s="1" t="n">
        <v>46283</v>
      </c>
      <c r="F397" t="inlineStr">
        <is>
          <t>HALLANDS LÄN</t>
        </is>
      </c>
      <c r="G397" t="inlineStr">
        <is>
          <t>VARBERG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44981</v>
      </c>
      <c r="E398" s="1" t="n">
        <v>46283</v>
      </c>
      <c r="F398" t="inlineStr">
        <is>
          <t>HALLANDS LÄN</t>
        </is>
      </c>
      <c r="G398" t="inlineStr">
        <is>
          <t>VARBERG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45582</v>
      </c>
      <c r="E399" s="1" t="n">
        <v>46283</v>
      </c>
      <c r="F399" t="inlineStr">
        <is>
          <t>HALLANDS LÄN</t>
        </is>
      </c>
      <c r="G399" t="inlineStr">
        <is>
          <t>VARBERG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44722</v>
      </c>
      <c r="E400" s="1" t="n">
        <v>46283</v>
      </c>
      <c r="F400" t="inlineStr">
        <is>
          <t>HALLANDS LÄN</t>
        </is>
      </c>
      <c r="G400" t="inlineStr">
        <is>
          <t>VARBERG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44749</v>
      </c>
      <c r="E401" s="1" t="n">
        <v>46283</v>
      </c>
      <c r="F401" t="inlineStr">
        <is>
          <t>HALLANDS LÄN</t>
        </is>
      </c>
      <c r="G401" t="inlineStr">
        <is>
          <t>VARBERG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10940-2022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44628</v>
      </c>
      <c r="E402" s="1" t="n">
        <v>46283</v>
      </c>
      <c r="F402" t="inlineStr">
        <is>
          <t>HALLANDS LÄN</t>
        </is>
      </c>
      <c r="G402" t="inlineStr">
        <is>
          <t>VARBERG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46047</v>
      </c>
      <c r="E403" s="1" t="n">
        <v>46283</v>
      </c>
      <c r="F403" t="inlineStr">
        <is>
          <t>HALLANDS LÄN</t>
        </is>
      </c>
      <c r="G403" t="inlineStr">
        <is>
          <t>VARBERG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46047</v>
      </c>
      <c r="E404" s="1" t="n">
        <v>46283</v>
      </c>
      <c r="F404" t="inlineStr">
        <is>
          <t>HALLANDS LÄN</t>
        </is>
      </c>
      <c r="G404" t="inlineStr">
        <is>
          <t>VARBERG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9514-2023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44981</v>
      </c>
      <c r="E405" s="1" t="n">
        <v>46283</v>
      </c>
      <c r="F405" t="inlineStr">
        <is>
          <t>HALLANDS LÄN</t>
        </is>
      </c>
      <c r="G405" t="inlineStr">
        <is>
          <t>VARBERG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64488-2021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44511</v>
      </c>
      <c r="E406" s="1" t="n">
        <v>46283</v>
      </c>
      <c r="F406" t="inlineStr">
        <is>
          <t>HALLANDS LÄN</t>
        </is>
      </c>
      <c r="G406" t="inlineStr">
        <is>
          <t>VARBERG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11523-2024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45372</v>
      </c>
      <c r="E407" s="1" t="n">
        <v>46283</v>
      </c>
      <c r="F407" t="inlineStr">
        <is>
          <t>HALLANDS LÄN</t>
        </is>
      </c>
      <c r="G407" t="inlineStr">
        <is>
          <t>VARBERG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26496-2024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45469</v>
      </c>
      <c r="E408" s="1" t="n">
        <v>46283</v>
      </c>
      <c r="F408" t="inlineStr">
        <is>
          <t>HALLANDS LÄN</t>
        </is>
      </c>
      <c r="G408" t="inlineStr">
        <is>
          <t>VARBERG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46283</v>
      </c>
      <c r="F409" t="inlineStr">
        <is>
          <t>HALLANDS LÄN</t>
        </is>
      </c>
      <c r="G409" t="inlineStr">
        <is>
          <t>VARBERG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45734</v>
      </c>
      <c r="E410" s="1" t="n">
        <v>46283</v>
      </c>
      <c r="F410" t="inlineStr">
        <is>
          <t>HALLANDS LÄN</t>
        </is>
      </c>
      <c r="G410" t="inlineStr">
        <is>
          <t>VARBERG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46283</v>
      </c>
      <c r="F411" t="inlineStr">
        <is>
          <t>HALLANDS LÄN</t>
        </is>
      </c>
      <c r="G411" t="inlineStr">
        <is>
          <t>VARBERG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15315-2022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44659</v>
      </c>
      <c r="E412" s="1" t="n">
        <v>46283</v>
      </c>
      <c r="F412" t="inlineStr">
        <is>
          <t>HALLANDS LÄN</t>
        </is>
      </c>
      <c r="G412" t="inlineStr">
        <is>
          <t>VARBERG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44441-2024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46283</v>
      </c>
      <c r="F413" t="inlineStr">
        <is>
          <t>HALLANDS LÄN</t>
        </is>
      </c>
      <c r="G413" t="inlineStr">
        <is>
          <t>VARBERG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45058</v>
      </c>
      <c r="E414" s="1" t="n">
        <v>46283</v>
      </c>
      <c r="F414" t="inlineStr">
        <is>
          <t>HALLANDS LÄN</t>
        </is>
      </c>
      <c r="G414" t="inlineStr">
        <is>
          <t>VARBERG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45762</v>
      </c>
      <c r="E415" s="1" t="n">
        <v>46283</v>
      </c>
      <c r="F415" t="inlineStr">
        <is>
          <t>HALLANDS LÄN</t>
        </is>
      </c>
      <c r="G415" t="inlineStr">
        <is>
          <t>VARBERG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47478-2024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46283</v>
      </c>
      <c r="F416" t="inlineStr">
        <is>
          <t>HALLANDS LÄN</t>
        </is>
      </c>
      <c r="G416" t="inlineStr">
        <is>
          <t>VARBERG</t>
        </is>
      </c>
      <c r="H416" t="inlineStr">
        <is>
          <t>Kyrkan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45090</v>
      </c>
      <c r="E417" s="1" t="n">
        <v>46283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45302</v>
      </c>
      <c r="E418" s="1" t="n">
        <v>46283</v>
      </c>
      <c r="F418" t="inlineStr">
        <is>
          <t>HALLANDS LÄN</t>
        </is>
      </c>
      <c r="G418" t="inlineStr">
        <is>
          <t>VARBERG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12743-2022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44641</v>
      </c>
      <c r="E419" s="1" t="n">
        <v>46283</v>
      </c>
      <c r="F419" t="inlineStr">
        <is>
          <t>HALLANDS LÄN</t>
        </is>
      </c>
      <c r="G419" t="inlineStr">
        <is>
          <t>VARBERG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58746-2024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45635</v>
      </c>
      <c r="E420" s="1" t="n">
        <v>46283</v>
      </c>
      <c r="F420" t="inlineStr">
        <is>
          <t>HALLANDS LÄN</t>
        </is>
      </c>
      <c r="G420" t="inlineStr">
        <is>
          <t>VARBERG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46283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52285-2023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45224</v>
      </c>
      <c r="E422" s="1" t="n">
        <v>46283</v>
      </c>
      <c r="F422" t="inlineStr">
        <is>
          <t>HALLANDS LÄN</t>
        </is>
      </c>
      <c r="G422" t="inlineStr">
        <is>
          <t>VARBERG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45539</v>
      </c>
      <c r="E423" s="1" t="n">
        <v>46283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52975-2022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44875</v>
      </c>
      <c r="E424" s="1" t="n">
        <v>46283</v>
      </c>
      <c r="F424" t="inlineStr">
        <is>
          <t>HALLANDS LÄN</t>
        </is>
      </c>
      <c r="G424" t="inlineStr">
        <is>
          <t>VARBERG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45224</v>
      </c>
      <c r="E425" s="1" t="n">
        <v>46283</v>
      </c>
      <c r="F425" t="inlineStr">
        <is>
          <t>HALLANDS LÄN</t>
        </is>
      </c>
      <c r="G425" t="inlineStr">
        <is>
          <t>VARBERG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44652</v>
      </c>
      <c r="E426" s="1" t="n">
        <v>46283</v>
      </c>
      <c r="F426" t="inlineStr">
        <is>
          <t>HALLANDS LÄN</t>
        </is>
      </c>
      <c r="G426" t="inlineStr">
        <is>
          <t>VARBERG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46283</v>
      </c>
      <c r="F427" t="inlineStr">
        <is>
          <t>HALLANDS LÄN</t>
        </is>
      </c>
      <c r="G427" t="inlineStr">
        <is>
          <t>VARBERG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19375-2025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45769</v>
      </c>
      <c r="E428" s="1" t="n">
        <v>46283</v>
      </c>
      <c r="F428" t="inlineStr">
        <is>
          <t>HALLANDS LÄN</t>
        </is>
      </c>
      <c r="G428" t="inlineStr">
        <is>
          <t>VARBERG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45665</v>
      </c>
      <c r="E429" s="1" t="n">
        <v>46283</v>
      </c>
      <c r="F429" t="inlineStr">
        <is>
          <t>HALLANDS LÄN</t>
        </is>
      </c>
      <c r="G429" t="inlineStr">
        <is>
          <t>VARBERG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46283</v>
      </c>
      <c r="F430" t="inlineStr">
        <is>
          <t>HALLANDS LÄN</t>
        </is>
      </c>
      <c r="G430" t="inlineStr">
        <is>
          <t>VARBERG</t>
        </is>
      </c>
      <c r="H430" t="inlineStr">
        <is>
          <t>Kyrkan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44935</v>
      </c>
      <c r="E431" s="1" t="n">
        <v>46283</v>
      </c>
      <c r="F431" t="inlineStr">
        <is>
          <t>HALLANDS LÄN</t>
        </is>
      </c>
      <c r="G431" t="inlineStr">
        <is>
          <t>VARBERG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20702-2024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45436</v>
      </c>
      <c r="E432" s="1" t="n">
        <v>46283</v>
      </c>
      <c r="F432" t="inlineStr">
        <is>
          <t>HALLANDS LÄN</t>
        </is>
      </c>
      <c r="G432" t="inlineStr">
        <is>
          <t>VARBERG</t>
        </is>
      </c>
      <c r="H432" t="inlineStr">
        <is>
          <t>Kyrkan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13600-2025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45736</v>
      </c>
      <c r="E433" s="1" t="n">
        <v>46283</v>
      </c>
      <c r="F433" t="inlineStr">
        <is>
          <t>HALLANDS LÄN</t>
        </is>
      </c>
      <c r="G433" t="inlineStr">
        <is>
          <t>VARBERG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37971-2022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44811</v>
      </c>
      <c r="E434" s="1" t="n">
        <v>46283</v>
      </c>
      <c r="F434" t="inlineStr">
        <is>
          <t>HALLANDS LÄN</t>
        </is>
      </c>
      <c r="G434" t="inlineStr">
        <is>
          <t>VARBERG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43681-2022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44837</v>
      </c>
      <c r="E435" s="1" t="n">
        <v>46283</v>
      </c>
      <c r="F435" t="inlineStr">
        <is>
          <t>HALLANDS LÄN</t>
        </is>
      </c>
      <c r="G435" t="inlineStr">
        <is>
          <t>VARBERG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45457</v>
      </c>
      <c r="E436" s="1" t="n">
        <v>46283</v>
      </c>
      <c r="F436" t="inlineStr">
        <is>
          <t>HALLANDS LÄN</t>
        </is>
      </c>
      <c r="G436" t="inlineStr">
        <is>
          <t>VARBERG</t>
        </is>
      </c>
      <c r="H436" t="inlineStr">
        <is>
          <t>Kyrkan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35506-2024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46283</v>
      </c>
      <c r="F437" t="inlineStr">
        <is>
          <t>HALLANDS LÄN</t>
        </is>
      </c>
      <c r="G437" t="inlineStr">
        <is>
          <t>VARBERG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45364</v>
      </c>
      <c r="E438" s="1" t="n">
        <v>46283</v>
      </c>
      <c r="F438" t="inlineStr">
        <is>
          <t>HALLANDS LÄN</t>
        </is>
      </c>
      <c r="G438" t="inlineStr">
        <is>
          <t>VARBERG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46283</v>
      </c>
      <c r="F439" t="inlineStr">
        <is>
          <t>HALLANDS LÄN</t>
        </is>
      </c>
      <c r="G439" t="inlineStr">
        <is>
          <t>VARBERG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811-2024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45300</v>
      </c>
      <c r="E440" s="1" t="n">
        <v>46283</v>
      </c>
      <c r="F440" t="inlineStr">
        <is>
          <t>HALLANDS LÄN</t>
        </is>
      </c>
      <c r="G440" t="inlineStr">
        <is>
          <t>VARBERG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45722</v>
      </c>
      <c r="E441" s="1" t="n">
        <v>46283</v>
      </c>
      <c r="F441" t="inlineStr">
        <is>
          <t>HALLANDS LÄN</t>
        </is>
      </c>
      <c r="G441" t="inlineStr">
        <is>
          <t>VARBERG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46283</v>
      </c>
      <c r="F442" t="inlineStr">
        <is>
          <t>HALLANDS LÄN</t>
        </is>
      </c>
      <c r="G442" t="inlineStr">
        <is>
          <t>VARBERG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46283</v>
      </c>
      <c r="F443" t="inlineStr">
        <is>
          <t>HALLANDS LÄN</t>
        </is>
      </c>
      <c r="G443" t="inlineStr">
        <is>
          <t>VARBERG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6647-2024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45341</v>
      </c>
      <c r="E444" s="1" t="n">
        <v>46283</v>
      </c>
      <c r="F444" t="inlineStr">
        <is>
          <t>HALLANDS LÄN</t>
        </is>
      </c>
      <c r="G444" t="inlineStr">
        <is>
          <t>VARBERG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45749</v>
      </c>
      <c r="E445" s="1" t="n">
        <v>46283</v>
      </c>
      <c r="F445" t="inlineStr">
        <is>
          <t>HALLANDS LÄN</t>
        </is>
      </c>
      <c r="G445" t="inlineStr">
        <is>
          <t>VARBERG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45716</v>
      </c>
      <c r="E446" s="1" t="n">
        <v>46283</v>
      </c>
      <c r="F446" t="inlineStr">
        <is>
          <t>HALLANDS LÄN</t>
        </is>
      </c>
      <c r="G446" t="inlineStr">
        <is>
          <t>VARBERG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16739-2025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46283</v>
      </c>
      <c r="F447" t="inlineStr">
        <is>
          <t>HALLANDS LÄN</t>
        </is>
      </c>
      <c r="G447" t="inlineStr">
        <is>
          <t>VARBERG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45184</v>
      </c>
      <c r="E448" s="1" t="n">
        <v>46283</v>
      </c>
      <c r="F448" t="inlineStr">
        <is>
          <t>HALLANDS LÄN</t>
        </is>
      </c>
      <c r="G448" t="inlineStr">
        <is>
          <t>VARBERG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45310</v>
      </c>
      <c r="E449" s="1" t="n">
        <v>46283</v>
      </c>
      <c r="F449" t="inlineStr">
        <is>
          <t>HALLANDS LÄN</t>
        </is>
      </c>
      <c r="G449" t="inlineStr">
        <is>
          <t>VARBERG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46283</v>
      </c>
      <c r="F450" t="inlineStr">
        <is>
          <t>HALLANDS LÄN</t>
        </is>
      </c>
      <c r="G450" t="inlineStr">
        <is>
          <t>VARBERG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45378</v>
      </c>
      <c r="E451" s="1" t="n">
        <v>46283</v>
      </c>
      <c r="F451" t="inlineStr">
        <is>
          <t>HALLANDS LÄN</t>
        </is>
      </c>
      <c r="G451" t="inlineStr">
        <is>
          <t>VARBERG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45791</v>
      </c>
      <c r="E452" s="1" t="n">
        <v>46283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45791</v>
      </c>
      <c r="E453" s="1" t="n">
        <v>46283</v>
      </c>
      <c r="F453" t="inlineStr">
        <is>
          <t>HALLANDS LÄN</t>
        </is>
      </c>
      <c r="G453" t="inlineStr">
        <is>
          <t>VARBERG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44793-2024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46283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45791</v>
      </c>
      <c r="E455" s="1" t="n">
        <v>46283</v>
      </c>
      <c r="F455" t="inlineStr">
        <is>
          <t>HALLANDS LÄN</t>
        </is>
      </c>
      <c r="G455" t="inlineStr">
        <is>
          <t>VARBERG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45336</v>
      </c>
      <c r="E456" s="1" t="n">
        <v>46283</v>
      </c>
      <c r="F456" t="inlineStr">
        <is>
          <t>HALLANDS LÄN</t>
        </is>
      </c>
      <c r="G456" t="inlineStr">
        <is>
          <t>VARBERG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25872-2025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45804</v>
      </c>
      <c r="E457" s="1" t="n">
        <v>46283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45804</v>
      </c>
      <c r="E458" s="1" t="n">
        <v>46283</v>
      </c>
      <c r="F458" t="inlineStr">
        <is>
          <t>HALLANDS LÄN</t>
        </is>
      </c>
      <c r="G458" t="inlineStr">
        <is>
          <t>VARBERG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26117-2025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45805</v>
      </c>
      <c r="E459" s="1" t="n">
        <v>46283</v>
      </c>
      <c r="F459" t="inlineStr">
        <is>
          <t>HALLANDS LÄN</t>
        </is>
      </c>
      <c r="G459" t="inlineStr">
        <is>
          <t>VARBERG</t>
        </is>
      </c>
      <c r="H459" t="inlineStr">
        <is>
          <t>Kommuner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28092-2024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45476</v>
      </c>
      <c r="E460" s="1" t="n">
        <v>46283</v>
      </c>
      <c r="F460" t="inlineStr">
        <is>
          <t>HALLANDS LÄN</t>
        </is>
      </c>
      <c r="G460" t="inlineStr">
        <is>
          <t>VARBERG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8249-2024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45352</v>
      </c>
      <c r="E461" s="1" t="n">
        <v>46283</v>
      </c>
      <c r="F461" t="inlineStr">
        <is>
          <t>HALLANDS LÄN</t>
        </is>
      </c>
      <c r="G461" t="inlineStr">
        <is>
          <t>VARBERG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45813</v>
      </c>
      <c r="E462" s="1" t="n">
        <v>46283</v>
      </c>
      <c r="F462" t="inlineStr">
        <is>
          <t>HALLANDS LÄN</t>
        </is>
      </c>
      <c r="G462" t="inlineStr">
        <is>
          <t>VARBERG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46283</v>
      </c>
      <c r="F463" t="inlineStr">
        <is>
          <t>HALLANDS LÄN</t>
        </is>
      </c>
      <c r="G463" t="inlineStr">
        <is>
          <t>VARBERG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45320</v>
      </c>
      <c r="E464" s="1" t="n">
        <v>46283</v>
      </c>
      <c r="F464" t="inlineStr">
        <is>
          <t>HALLANDS LÄN</t>
        </is>
      </c>
      <c r="G464" t="inlineStr">
        <is>
          <t>VARBERG</t>
        </is>
      </c>
      <c r="H464" t="inlineStr">
        <is>
          <t>Övriga statliga verk och myndigheter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6247-2022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44868</v>
      </c>
      <c r="E465" s="1" t="n">
        <v>46283</v>
      </c>
      <c r="F465" t="inlineStr">
        <is>
          <t>HALLANDS LÄN</t>
        </is>
      </c>
      <c r="G465" t="inlineStr">
        <is>
          <t>VARBERG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6873-2022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44895</v>
      </c>
      <c r="E466" s="1" t="n">
        <v>46283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81-2024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46283</v>
      </c>
      <c r="F467" t="inlineStr">
        <is>
          <t>HALLANDS LÄN</t>
        </is>
      </c>
      <c r="G467" t="inlineStr">
        <is>
          <t>VARBERG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9190-2021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44522</v>
      </c>
      <c r="E468" s="1" t="n">
        <v>46283</v>
      </c>
      <c r="F468" t="inlineStr">
        <is>
          <t>HALLANDS LÄN</t>
        </is>
      </c>
      <c r="G468" t="inlineStr">
        <is>
          <t>VARBERG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82-2024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45300</v>
      </c>
      <c r="E469" s="1" t="n">
        <v>46283</v>
      </c>
      <c r="F469" t="inlineStr">
        <is>
          <t>HALLANDS LÄN</t>
        </is>
      </c>
      <c r="G469" t="inlineStr">
        <is>
          <t>VARBERG</t>
        </is>
      </c>
      <c r="I469" t="n">
        <v>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1525-2024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45425</v>
      </c>
      <c r="E470" s="1" t="n">
        <v>46283</v>
      </c>
      <c r="F470" t="inlineStr">
        <is>
          <t>HALLANDS LÄN</t>
        </is>
      </c>
      <c r="G470" t="inlineStr">
        <is>
          <t>VARBERG</t>
        </is>
      </c>
      <c r="I470" t="n">
        <v>21.5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1601-2024</t>
        </is>
      </c>
      <c r="B471" t="inlineStr">
        <is>
          <t>samrådsanmälan</t>
        </is>
      </c>
      <c r="C471" t="inlineStr">
        <is>
          <t>Skogsbilväg</t>
        </is>
      </c>
      <c r="D471" s="1" t="n">
        <v>45428</v>
      </c>
      <c r="E471" s="1" t="n">
        <v>46283</v>
      </c>
      <c r="F471" t="inlineStr">
        <is>
          <t>HALLANDS LÄN</t>
        </is>
      </c>
      <c r="G471" t="inlineStr">
        <is>
          <t>VARBERG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6863-2022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44895</v>
      </c>
      <c r="E472" s="1" t="n">
        <v>46283</v>
      </c>
      <c r="F472" t="inlineStr">
        <is>
          <t>HALLANDS LÄN</t>
        </is>
      </c>
      <c r="G472" t="inlineStr">
        <is>
          <t>VARBERG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3713-2024</t>
        </is>
      </c>
      <c r="B473" t="inlineStr">
        <is>
          <t>samrådsanmälan</t>
        </is>
      </c>
      <c r="C473" t="inlineStr">
        <is>
          <t>Dikesrensning</t>
        </is>
      </c>
      <c r="D473" s="1" t="n">
        <v>45554</v>
      </c>
      <c r="E473" s="1" t="n">
        <v>46283</v>
      </c>
      <c r="F473" t="inlineStr">
        <is>
          <t>HALLANDS LÄN</t>
        </is>
      </c>
      <c r="G473" t="inlineStr">
        <is>
          <t>VARBERG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630-2024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45355</v>
      </c>
      <c r="E474" s="1" t="n">
        <v>46283</v>
      </c>
      <c r="F474" t="inlineStr">
        <is>
          <t>HALLANDS LÄN</t>
        </is>
      </c>
      <c r="G474" t="inlineStr">
        <is>
          <t>VARBERG</t>
        </is>
      </c>
      <c r="I474" t="n">
        <v>20.4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75-2024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45300</v>
      </c>
      <c r="E475" s="1" t="n">
        <v>46283</v>
      </c>
      <c r="F475" t="inlineStr">
        <is>
          <t>HALLANDS LÄN</t>
        </is>
      </c>
      <c r="G475" t="inlineStr">
        <is>
          <t>VARBERG</t>
        </is>
      </c>
      <c r="I475" t="n">
        <v>28.2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7377-2021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44470</v>
      </c>
      <c r="E476" s="1" t="n">
        <v>46283</v>
      </c>
      <c r="F476" t="inlineStr">
        <is>
          <t>HALLANDS LÄN</t>
        </is>
      </c>
      <c r="G476" t="inlineStr">
        <is>
          <t>VARBERG</t>
        </is>
      </c>
      <c r="I476" t="n">
        <v>45.3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2133-2025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45847</v>
      </c>
      <c r="E477" s="1" t="n">
        <v>46283</v>
      </c>
      <c r="F477" t="inlineStr">
        <is>
          <t>HALLANDS LÄN</t>
        </is>
      </c>
      <c r="G477" t="inlineStr">
        <is>
          <t>VARBERG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139-2026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46283</v>
      </c>
      <c r="F478" t="inlineStr">
        <is>
          <t>HALLANDS LÄN</t>
        </is>
      </c>
      <c r="G478" t="inlineStr">
        <is>
          <t>VARBERG</t>
        </is>
      </c>
      <c r="I478" t="n">
        <v>38.9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46283</v>
      </c>
      <c r="F479" t="inlineStr">
        <is>
          <t>HALLANDS LÄN</t>
        </is>
      </c>
      <c r="G479" t="inlineStr">
        <is>
          <t>VARBERG</t>
        </is>
      </c>
      <c r="I479" t="n">
        <v>23.1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46283</v>
      </c>
      <c r="F480" t="inlineStr">
        <is>
          <t>HALLANDS LÄN</t>
        </is>
      </c>
      <c r="G480" t="inlineStr">
        <is>
          <t>VARBERG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46283</v>
      </c>
      <c r="F481" t="inlineStr">
        <is>
          <t>HALLANDS LÄN</t>
        </is>
      </c>
      <c r="G481" t="inlineStr">
        <is>
          <t>VARBERG</t>
        </is>
      </c>
      <c r="I481" t="n">
        <v>15.4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1402-2026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46154</v>
      </c>
      <c r="E482" s="1" t="n">
        <v>46283</v>
      </c>
      <c r="F482" t="inlineStr">
        <is>
          <t>HALLANDS LÄN</t>
        </is>
      </c>
      <c r="G482" t="inlineStr">
        <is>
          <t>VARBERG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2273-2026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46264</v>
      </c>
      <c r="E483" s="1" t="n">
        <v>46283</v>
      </c>
      <c r="F483" t="inlineStr">
        <is>
          <t>HALLANDS LÄN</t>
        </is>
      </c>
      <c r="G483" t="inlineStr">
        <is>
          <t>VARBERG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2026-09-18T02:06:20Z</dcterms:created>
  <dcterms:modified xmlns:dcterms="http://purl.org/dc/terms/" xmlns:xsi="http://www.w3.org/2001/XMLSchema-instance" xsi:type="dcterms:W3CDTF">2026-09-18T02:06:20Z</dcterms:modified>
</cp:coreProperties>
</file>