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46265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46265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46265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46265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46265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46265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46265</v>
      </c>
      <c r="F17" t="inlineStr">
        <is>
          <t>HALLANDS LÄN</t>
        </is>
      </c>
      <c r="G17" t="inlineStr">
        <is>
          <t>VARBERG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Flytsvalting</t>
        </is>
      </c>
      <c r="W17">
        <f>HYPERLINK("https://klasma.github.io/Logging_1383/artfynd/A 8906-2025 artfynd.xlsx", "A 8906-2025")</f>
        <v/>
      </c>
      <c r="X17">
        <f>HYPERLINK("https://klasma.github.io/Logging_1383/kartor/A 8906-2025 karta.png", "A 8906-2025")</f>
        <v/>
      </c>
      <c r="Y17">
        <f>HYPERLINK("https://klasma.github.io/Logging_1383/kartor_geotiff/A 8906-2025 georefererad karta.tif", "A 8906-2025")</f>
        <v/>
      </c>
      <c r="AA17">
        <f>HYPERLINK("https://klasma.github.io/Logging_1383/klagomål/A 8906-2025 FSC-klagomål.docx", "A 8906-2025")</f>
        <v/>
      </c>
      <c r="AB17">
        <f>HYPERLINK("https://klasma.github.io/Logging_1383/klagomålsmail/A 8906-2025 FSC-klagomål mail.docx", "A 8906-2025")</f>
        <v/>
      </c>
      <c r="AC17">
        <f>HYPERLINK("https://klasma.github.io/Logging_1383/tillsyn/A 8906-2025 tillsynsbegäran.docx", "A 8906-2025")</f>
        <v/>
      </c>
      <c r="AD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46265</v>
      </c>
      <c r="F18" t="inlineStr">
        <is>
          <t>HALLANDS LÄN</t>
        </is>
      </c>
      <c r="G18" t="inlineStr">
        <is>
          <t>VARBERG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Hasselmus</t>
        </is>
      </c>
      <c r="W18">
        <f>HYPERLINK("https://klasma.github.io/Logging_1383/artfynd/A 42724-2025 artfynd.xlsx", "A 42724-2025")</f>
        <v/>
      </c>
      <c r="X18">
        <f>HYPERLINK("https://klasma.github.io/Logging_1383/kartor/A 42724-2025 karta.png", "A 42724-2025")</f>
        <v/>
      </c>
      <c r="Y18">
        <f>HYPERLINK("https://klasma.github.io/Logging_1383/kartor_geotiff/A 42724-2025 georefererad karta.tif", "A 42724-2025")</f>
        <v/>
      </c>
      <c r="AA18">
        <f>HYPERLINK("https://klasma.github.io/Logging_1383/klagomål/A 42724-2025 FSC-klagomål.docx", "A 42724-2025")</f>
        <v/>
      </c>
      <c r="AB18">
        <f>HYPERLINK("https://klasma.github.io/Logging_1383/klagomålsmail/A 42724-2025 FSC-klagomål mail.docx", "A 42724-2025")</f>
        <v/>
      </c>
      <c r="AC18">
        <f>HYPERLINK("https://klasma.github.io/Logging_1383/tillsyn/A 42724-2025 tillsynsbegäran.docx", "A 42724-2025")</f>
        <v/>
      </c>
      <c r="AD18">
        <f>HYPERLINK("https://klasma.github.io/Logging_1383/tillsynsmail/A 42724-2025 tillsynsbegäran mail.docx", "A 42724-2025")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46265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49083-2022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44860</v>
      </c>
      <c r="E20" s="1" t="n">
        <v>46265</v>
      </c>
      <c r="F20" t="inlineStr">
        <is>
          <t>HALLANDS LÄN</t>
        </is>
      </c>
      <c r="G20" t="inlineStr">
        <is>
          <t>VARBERG</t>
        </is>
      </c>
      <c r="I20" t="n">
        <v>13.3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Kambräken</t>
        </is>
      </c>
      <c r="W20">
        <f>HYPERLINK("https://klasma.github.io/Logging_1383/artfynd/A 49083-2022 artfynd.xlsx", "A 49083-2022")</f>
        <v/>
      </c>
      <c r="X20">
        <f>HYPERLINK("https://klasma.github.io/Logging_1383/kartor/A 49083-2022 karta.png", "A 49083-2022")</f>
        <v/>
      </c>
      <c r="Y20">
        <f>HYPERLINK("https://klasma.github.io/Logging_1383/kartor_geotiff/A 49083-2022 georefererad karta.tif", "A 49083-2022")</f>
        <v/>
      </c>
      <c r="AA20">
        <f>HYPERLINK("https://klasma.github.io/Logging_1383/klagomål/A 49083-2022 FSC-klagomål.docx", "A 49083-2022")</f>
        <v/>
      </c>
      <c r="AB20">
        <f>HYPERLINK("https://klasma.github.io/Logging_1383/klagomålsmail/A 49083-2022 FSC-klagomål mail.docx", "A 49083-2022")</f>
        <v/>
      </c>
      <c r="AC20">
        <f>HYPERLINK("https://klasma.github.io/Logging_1383/tillsyn/A 49083-2022 tillsynsbegäran.docx", "A 49083-2022")</f>
        <v/>
      </c>
      <c r="AD20">
        <f>HYPERLINK("https://klasma.github.io/Logging_1383/tillsynsmail/A 49083-2022 tillsynsbegäran mail.docx", "A 49083-2022")</f>
        <v/>
      </c>
    </row>
    <row r="21" ht="15" customHeight="1">
      <c r="A21" t="inlineStr">
        <is>
          <t>A 42573-2022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46265</v>
      </c>
      <c r="F21" t="inlineStr">
        <is>
          <t>HALLANDS LÄN</t>
        </is>
      </c>
      <c r="G21" t="inlineStr">
        <is>
          <t>VARBERG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Brun glada</t>
        </is>
      </c>
      <c r="W21">
        <f>HYPERLINK("https://klasma.github.io/Logging_1383/artfynd/A 42573-2022 artfynd.xlsx", "A 42573-2022")</f>
        <v/>
      </c>
      <c r="X21">
        <f>HYPERLINK("https://klasma.github.io/Logging_1383/kartor/A 42573-2022 karta.png", "A 42573-2022")</f>
        <v/>
      </c>
      <c r="Y21">
        <f>HYPERLINK("https://klasma.github.io/Logging_1383/kartor_geotiff/A 42573-2022 georefererad karta.tif", "A 42573-2022")</f>
        <v/>
      </c>
      <c r="AA21">
        <f>HYPERLINK("https://klasma.github.io/Logging_1383/klagomål/A 42573-2022 FSC-klagomål.docx", "A 42573-2022")</f>
        <v/>
      </c>
      <c r="AB21">
        <f>HYPERLINK("https://klasma.github.io/Logging_1383/klagomålsmail/A 42573-2022 FSC-klagomål mail.docx", "A 42573-2022")</f>
        <v/>
      </c>
      <c r="AC21">
        <f>HYPERLINK("https://klasma.github.io/Logging_1383/tillsyn/A 42573-2022 tillsynsbegäran.docx", "A 42573-2022")</f>
        <v/>
      </c>
      <c r="AD21">
        <f>HYPERLINK("https://klasma.github.io/Logging_1383/tillsynsmail/A 42573-2022 tillsynsbegäran mail.docx", "A 42573-2022")</f>
        <v/>
      </c>
      <c r="AE21">
        <f>HYPERLINK("https://klasma.github.io/Logging_1383/fåglar/A 42573-2022 prioriterade fågelarter.docx", "A 42573-2022")</f>
        <v/>
      </c>
    </row>
    <row r="22" ht="15" customHeight="1">
      <c r="A22" t="inlineStr">
        <is>
          <t>A 46737-2023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45198</v>
      </c>
      <c r="E22" s="1" t="n">
        <v>46265</v>
      </c>
      <c r="F22" t="inlineStr">
        <is>
          <t>HALLANDS LÄN</t>
        </is>
      </c>
      <c r="G22" t="inlineStr">
        <is>
          <t>VARBERG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HYPERLINK("https://klasma.github.io/Logging_1383/artfynd/A 46737-2023 artfynd.xlsx", "A 46737-2023")</f>
        <v/>
      </c>
      <c r="X22">
        <f>HYPERLINK("https://klasma.github.io/Logging_1383/kartor/A 46737-2023 karta.png", "A 46737-2023")</f>
        <v/>
      </c>
      <c r="Y22">
        <f>HYPERLINK("https://klasma.github.io/Logging_1383/kartor_geotiff/A 46737-2023 georefererad karta.tif", "A 46737-2023")</f>
        <v/>
      </c>
      <c r="AA22">
        <f>HYPERLINK("https://klasma.github.io/Logging_1383/klagomål/A 46737-2023 FSC-klagomål.docx", "A 46737-2023")</f>
        <v/>
      </c>
      <c r="AB22">
        <f>HYPERLINK("https://klasma.github.io/Logging_1383/klagomålsmail/A 46737-2023 FSC-klagomål mail.docx", "A 46737-2023")</f>
        <v/>
      </c>
      <c r="AC22">
        <f>HYPERLINK("https://klasma.github.io/Logging_1383/tillsyn/A 46737-2023 tillsynsbegäran.docx", "A 46737-2023")</f>
        <v/>
      </c>
      <c r="AD22">
        <f>HYPERLINK("https://klasma.github.io/Logging_1383/tillsynsmail/A 46737-2023 tillsynsbegäran mail.docx", "A 46737-2023")</f>
        <v/>
      </c>
    </row>
    <row r="23" ht="15" customHeight="1">
      <c r="A23" t="inlineStr">
        <is>
          <t>A 15066-2022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44657</v>
      </c>
      <c r="E23" s="1" t="n">
        <v>46265</v>
      </c>
      <c r="F23" t="inlineStr">
        <is>
          <t>HALLANDS LÄN</t>
        </is>
      </c>
      <c r="G23" t="inlineStr">
        <is>
          <t>VARBERG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Grönvit nattviol</t>
        </is>
      </c>
      <c r="W23">
        <f>HYPERLINK("https://klasma.github.io/Logging_1383/artfynd/A 15066-2022 artfynd.xlsx", "A 15066-2022")</f>
        <v/>
      </c>
      <c r="X23">
        <f>HYPERLINK("https://klasma.github.io/Logging_1383/kartor/A 15066-2022 karta.png", "A 15066-2022")</f>
        <v/>
      </c>
      <c r="Y23">
        <f>HYPERLINK("https://klasma.github.io/Logging_1383/kartor_geotiff/A 15066-2022 georefererad karta.tif", "A 15066-2022")</f>
        <v/>
      </c>
      <c r="AA23">
        <f>HYPERLINK("https://klasma.github.io/Logging_1383/klagomål/A 15066-2022 FSC-klagomål.docx", "A 15066-2022")</f>
        <v/>
      </c>
      <c r="AB23">
        <f>HYPERLINK("https://klasma.github.io/Logging_1383/klagomålsmail/A 15066-2022 FSC-klagomål mail.docx", "A 15066-2022")</f>
        <v/>
      </c>
      <c r="AC23">
        <f>HYPERLINK("https://klasma.github.io/Logging_1383/tillsyn/A 15066-2022 tillsynsbegäran.docx", "A 15066-2022")</f>
        <v/>
      </c>
      <c r="AD23">
        <f>HYPERLINK("https://klasma.github.io/Logging_1383/tillsynsmail/A 15066-2022 tillsynsbegäran mail.docx", "A 15066-2022")</f>
        <v/>
      </c>
    </row>
    <row r="24" ht="15" customHeight="1">
      <c r="A24" t="inlineStr">
        <is>
          <t>A 8254-2024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46265</v>
      </c>
      <c r="F24" t="inlineStr">
        <is>
          <t>HALLANDS LÄN</t>
        </is>
      </c>
      <c r="G24" t="inlineStr">
        <is>
          <t>VARBERG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Jättesvampmal</t>
        </is>
      </c>
      <c r="W24">
        <f>HYPERLINK("https://klasma.github.io/Logging_1383/artfynd/A 8254-2024 artfynd.xlsx", "A 8254-2024")</f>
        <v/>
      </c>
      <c r="X24">
        <f>HYPERLINK("https://klasma.github.io/Logging_1383/kartor/A 8254-2024 karta.png", "A 8254-2024")</f>
        <v/>
      </c>
      <c r="Y24">
        <f>HYPERLINK("https://klasma.github.io/Logging_1383/kartor_geotiff/A 8254-2024 georefererad karta.tif", "A 8254-2024")</f>
        <v/>
      </c>
      <c r="AA24">
        <f>HYPERLINK("https://klasma.github.io/Logging_1383/klagomål/A 8254-2024 FSC-klagomål.docx", "A 8254-2024")</f>
        <v/>
      </c>
      <c r="AB24">
        <f>HYPERLINK("https://klasma.github.io/Logging_1383/klagomålsmail/A 8254-2024 FSC-klagomål mail.docx", "A 8254-2024")</f>
        <v/>
      </c>
      <c r="AC24">
        <f>HYPERLINK("https://klasma.github.io/Logging_1383/tillsyn/A 8254-2024 tillsynsbegäran.docx", "A 8254-2024")</f>
        <v/>
      </c>
      <c r="AD24">
        <f>HYPERLINK("https://klasma.github.io/Logging_1383/tillsynsmail/A 8254-2024 tillsynsbegäran mail.docx", "A 8254-2024")</f>
        <v/>
      </c>
    </row>
    <row r="25" ht="15" customHeight="1">
      <c r="A25" t="inlineStr">
        <is>
          <t>A 61966-2022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44918</v>
      </c>
      <c r="E25" s="1" t="n">
        <v>46265</v>
      </c>
      <c r="F25" t="inlineStr">
        <is>
          <t>HALLANDS LÄN</t>
        </is>
      </c>
      <c r="G25" t="inlineStr">
        <is>
          <t>VARBERG</t>
        </is>
      </c>
      <c r="I25" t="n">
        <v>0.7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Åkersyska</t>
        </is>
      </c>
      <c r="W25">
        <f>HYPERLINK("https://klasma.github.io/Logging_1383/artfynd/A 61966-2022 artfynd.xlsx", "A 61966-2022")</f>
        <v/>
      </c>
      <c r="X25">
        <f>HYPERLINK("https://klasma.github.io/Logging_1383/kartor/A 61966-2022 karta.png", "A 61966-2022")</f>
        <v/>
      </c>
      <c r="Y25">
        <f>HYPERLINK("https://klasma.github.io/Logging_1383/kartor_geotiff/A 61966-2022 georefererad karta.tif", "A 61966-2022")</f>
        <v/>
      </c>
      <c r="AA25">
        <f>HYPERLINK("https://klasma.github.io/Logging_1383/klagomål/A 61966-2022 FSC-klagomål.docx", "A 61966-2022")</f>
        <v/>
      </c>
      <c r="AB25">
        <f>HYPERLINK("https://klasma.github.io/Logging_1383/klagomålsmail/A 61966-2022 FSC-klagomål mail.docx", "A 61966-2022")</f>
        <v/>
      </c>
      <c r="AC25">
        <f>HYPERLINK("https://klasma.github.io/Logging_1383/tillsyn/A 61966-2022 tillsynsbegäran.docx", "A 61966-2022")</f>
        <v/>
      </c>
      <c r="AD25">
        <f>HYPERLINK("https://klasma.github.io/Logging_1383/tillsynsmail/A 61966-2022 tillsynsbegäran mail.docx", "A 61966-2022")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46265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46265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46265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46265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46265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46265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46265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46265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46265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46265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46265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46265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46265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46265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46265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46265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46265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46265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46265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46265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46265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46265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46265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46265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46265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46265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46265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46265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46265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46265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46265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46265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46265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46265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46265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46265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46265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46265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46265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46265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46265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46265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46265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46265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46265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46265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46265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46265</v>
      </c>
      <c r="F73" t="inlineStr">
        <is>
          <t>HALLANDS LÄN</t>
        </is>
      </c>
      <c r="G73" t="inlineStr">
        <is>
          <t>VARBERG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45411</v>
      </c>
      <c r="E74" s="1" t="n">
        <v>46265</v>
      </c>
      <c r="F74" t="inlineStr">
        <is>
          <t>HALLANDS LÄN</t>
        </is>
      </c>
      <c r="G74" t="inlineStr">
        <is>
          <t>VARBERG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46265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46265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46265</v>
      </c>
      <c r="F77" t="inlineStr">
        <is>
          <t>HALLANDS LÄN</t>
        </is>
      </c>
      <c r="G77" t="inlineStr">
        <is>
          <t>VARBERG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46265</v>
      </c>
      <c r="F78" t="inlineStr">
        <is>
          <t>HALLANDS LÄN</t>
        </is>
      </c>
      <c r="G78" t="inlineStr">
        <is>
          <t>VARBERG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46265</v>
      </c>
      <c r="F79" t="inlineStr">
        <is>
          <t>HALLANDS LÄN</t>
        </is>
      </c>
      <c r="G79" t="inlineStr">
        <is>
          <t>VARBERG</t>
        </is>
      </c>
      <c r="H79" t="inlineStr">
        <is>
          <t>Kyrkan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44890</v>
      </c>
      <c r="E80" s="1" t="n">
        <v>46265</v>
      </c>
      <c r="F80" t="inlineStr">
        <is>
          <t>HALLANDS LÄN</t>
        </is>
      </c>
      <c r="G80" t="inlineStr">
        <is>
          <t>VARBERG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46265</v>
      </c>
      <c r="F81" t="inlineStr">
        <is>
          <t>HALLANDS LÄN</t>
        </is>
      </c>
      <c r="G81" t="inlineStr">
        <is>
          <t>VARBERG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46265</v>
      </c>
      <c r="F82" t="inlineStr">
        <is>
          <t>HALLANDS LÄN</t>
        </is>
      </c>
      <c r="G82" t="inlineStr">
        <is>
          <t>VARBERG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45960</v>
      </c>
      <c r="E83" s="1" t="n">
        <v>46265</v>
      </c>
      <c r="F83" t="inlineStr">
        <is>
          <t>HALLANDS LÄN</t>
        </is>
      </c>
      <c r="G83" t="inlineStr">
        <is>
          <t>VARBERG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16755-2024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46265</v>
      </c>
      <c r="F84" t="inlineStr">
        <is>
          <t>HALLANDS LÄN</t>
        </is>
      </c>
      <c r="G84" t="inlineStr">
        <is>
          <t>VARBERG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45574</v>
      </c>
      <c r="E85" s="1" t="n">
        <v>46265</v>
      </c>
      <c r="F85" t="inlineStr">
        <is>
          <t>HALLANDS LÄN</t>
        </is>
      </c>
      <c r="G85" t="inlineStr">
        <is>
          <t>VARBERG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46265</v>
      </c>
      <c r="F86" t="inlineStr">
        <is>
          <t>HALLANDS LÄN</t>
        </is>
      </c>
      <c r="G86" t="inlineStr">
        <is>
          <t>VARBERG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46265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45888</v>
      </c>
      <c r="E88" s="1" t="n">
        <v>46265</v>
      </c>
      <c r="F88" t="inlineStr">
        <is>
          <t>HALLANDS LÄN</t>
        </is>
      </c>
      <c r="G88" t="inlineStr">
        <is>
          <t>VARBERG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46265</v>
      </c>
      <c r="F89" t="inlineStr">
        <is>
          <t>HALLANDS LÄN</t>
        </is>
      </c>
      <c r="G89" t="inlineStr">
        <is>
          <t>VARBERG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46265</v>
      </c>
      <c r="F90" t="inlineStr">
        <is>
          <t>HALLANDS LÄN</t>
        </is>
      </c>
      <c r="G90" t="inlineStr">
        <is>
          <t>VARBERG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46265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46265</v>
      </c>
      <c r="F92" t="inlineStr">
        <is>
          <t>HALLANDS LÄN</t>
        </is>
      </c>
      <c r="G92" t="inlineStr">
        <is>
          <t>VARBERG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46265</v>
      </c>
      <c r="F93" t="inlineStr">
        <is>
          <t>HALLANDS LÄN</t>
        </is>
      </c>
      <c r="G93" t="inlineStr">
        <is>
          <t>VARBERG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45323</v>
      </c>
      <c r="E94" s="1" t="n">
        <v>46265</v>
      </c>
      <c r="F94" t="inlineStr">
        <is>
          <t>HALLANDS LÄN</t>
        </is>
      </c>
      <c r="G94" t="inlineStr">
        <is>
          <t>VARBERG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46265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45097</v>
      </c>
      <c r="E96" s="1" t="n">
        <v>46265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35018-2025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45851</v>
      </c>
      <c r="E97" s="1" t="n">
        <v>46265</v>
      </c>
      <c r="F97" t="inlineStr">
        <is>
          <t>HALLANDS LÄN</t>
        </is>
      </c>
      <c r="G97" t="inlineStr">
        <is>
          <t>VARBERG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46265</v>
      </c>
      <c r="F98" t="inlineStr">
        <is>
          <t>HALLANDS LÄN</t>
        </is>
      </c>
      <c r="G98" t="inlineStr">
        <is>
          <t>VARBERG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46265</v>
      </c>
      <c r="F99" t="inlineStr">
        <is>
          <t>HALLANDS LÄN</t>
        </is>
      </c>
      <c r="G99" t="inlineStr">
        <is>
          <t>VARBERG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46265</v>
      </c>
      <c r="F100" t="inlineStr">
        <is>
          <t>HALLANDS LÄN</t>
        </is>
      </c>
      <c r="G100" t="inlineStr">
        <is>
          <t>VARBERG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46265</v>
      </c>
      <c r="F101" t="inlineStr">
        <is>
          <t>HALLANDS LÄN</t>
        </is>
      </c>
      <c r="G101" t="inlineStr">
        <is>
          <t>VARBERG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46265</v>
      </c>
      <c r="F102" t="inlineStr">
        <is>
          <t>HALLANDS LÄN</t>
        </is>
      </c>
      <c r="G102" t="inlineStr">
        <is>
          <t>VARBERG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46265</v>
      </c>
      <c r="F103" t="inlineStr">
        <is>
          <t>HALLANDS LÄN</t>
        </is>
      </c>
      <c r="G103" t="inlineStr">
        <is>
          <t>VARBERG</t>
        </is>
      </c>
      <c r="I103" t="n">
        <v>18.8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44457</v>
      </c>
      <c r="E104" s="1" t="n">
        <v>46265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56967-2022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46265</v>
      </c>
      <c r="F105" t="inlineStr">
        <is>
          <t>HALLANDS LÄN</t>
        </is>
      </c>
      <c r="G105" t="inlineStr">
        <is>
          <t>VARBERG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46265</v>
      </c>
      <c r="F106" t="inlineStr">
        <is>
          <t>HALLANDS LÄN</t>
        </is>
      </c>
      <c r="G106" t="inlineStr">
        <is>
          <t>VARBERG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46265</v>
      </c>
      <c r="F107" t="inlineStr">
        <is>
          <t>HALLANDS LÄN</t>
        </is>
      </c>
      <c r="G107" t="inlineStr">
        <is>
          <t>VARBERG</t>
        </is>
      </c>
      <c r="I107" t="n">
        <v>11.6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46265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44867</v>
      </c>
      <c r="E109" s="1" t="n">
        <v>46265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46265</v>
      </c>
      <c r="F110" t="inlineStr">
        <is>
          <t>HALLANDS LÄN</t>
        </is>
      </c>
      <c r="G110" t="inlineStr">
        <is>
          <t>VARBERG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46265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46265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46265</v>
      </c>
      <c r="F113" t="inlineStr">
        <is>
          <t>HALLANDS LÄN</t>
        </is>
      </c>
      <c r="G113" t="inlineStr">
        <is>
          <t>VARBERG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46265</v>
      </c>
      <c r="F114" t="inlineStr">
        <is>
          <t>HALLANDS LÄN</t>
        </is>
      </c>
      <c r="G114" t="inlineStr">
        <is>
          <t>VARBERG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46265</v>
      </c>
      <c r="F115" t="inlineStr">
        <is>
          <t>HALLANDS LÄN</t>
        </is>
      </c>
      <c r="G115" t="inlineStr">
        <is>
          <t>VARBERG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46265</v>
      </c>
      <c r="F116" t="inlineStr">
        <is>
          <t>HALLANDS LÄN</t>
        </is>
      </c>
      <c r="G116" t="inlineStr">
        <is>
          <t>VARBERG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46265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46265</v>
      </c>
      <c r="F118" t="inlineStr">
        <is>
          <t>HALLANDS LÄN</t>
        </is>
      </c>
      <c r="G118" t="inlineStr">
        <is>
          <t>VARBERG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46265</v>
      </c>
      <c r="F119" t="inlineStr">
        <is>
          <t>HALLANDS LÄN</t>
        </is>
      </c>
      <c r="G119" t="inlineStr">
        <is>
          <t>VARBERG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46265</v>
      </c>
      <c r="F120" t="inlineStr">
        <is>
          <t>HALLANDS LÄN</t>
        </is>
      </c>
      <c r="G120" t="inlineStr">
        <is>
          <t>VARBERG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46265</v>
      </c>
      <c r="F121" t="inlineStr">
        <is>
          <t>HALLANDS LÄN</t>
        </is>
      </c>
      <c r="G121" t="inlineStr">
        <is>
          <t>VARBERG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46265</v>
      </c>
      <c r="F122" t="inlineStr">
        <is>
          <t>HALLANDS LÄN</t>
        </is>
      </c>
      <c r="G122" t="inlineStr">
        <is>
          <t>VARBERG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46265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46265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46265</v>
      </c>
      <c r="F125" t="inlineStr">
        <is>
          <t>HALLANDS LÄN</t>
        </is>
      </c>
      <c r="G125" t="inlineStr">
        <is>
          <t>VARBERG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46265</v>
      </c>
      <c r="F126" t="inlineStr">
        <is>
          <t>HALLANDS LÄN</t>
        </is>
      </c>
      <c r="G126" t="inlineStr">
        <is>
          <t>VARBERG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26117-2025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45805</v>
      </c>
      <c r="E127" s="1" t="n">
        <v>46265</v>
      </c>
      <c r="F127" t="inlineStr">
        <is>
          <t>HALLANDS LÄN</t>
        </is>
      </c>
      <c r="G127" t="inlineStr">
        <is>
          <t>VARBERG</t>
        </is>
      </c>
      <c r="H127" t="inlineStr">
        <is>
          <t>Kommuner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28092-2024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45476</v>
      </c>
      <c r="E128" s="1" t="n">
        <v>46265</v>
      </c>
      <c r="F128" t="inlineStr">
        <is>
          <t>HALLANDS LÄN</t>
        </is>
      </c>
      <c r="G128" t="inlineStr">
        <is>
          <t>VARBERG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46265</v>
      </c>
      <c r="F129" t="inlineStr">
        <is>
          <t>HALLANDS LÄN</t>
        </is>
      </c>
      <c r="G129" t="inlineStr">
        <is>
          <t>VARBERG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46265</v>
      </c>
      <c r="F130" t="inlineStr">
        <is>
          <t>HALLANDS LÄN</t>
        </is>
      </c>
      <c r="G130" t="inlineStr">
        <is>
          <t>VARBERG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46265</v>
      </c>
      <c r="F131" t="inlineStr">
        <is>
          <t>HALLANDS LÄN</t>
        </is>
      </c>
      <c r="G131" t="inlineStr">
        <is>
          <t>VARBERG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46265</v>
      </c>
      <c r="F132" t="inlineStr">
        <is>
          <t>HALLANDS LÄN</t>
        </is>
      </c>
      <c r="G132" t="inlineStr">
        <is>
          <t>VARBERG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46265</v>
      </c>
      <c r="F133" t="inlineStr">
        <is>
          <t>HALLANDS LÄN</t>
        </is>
      </c>
      <c r="G133" t="inlineStr">
        <is>
          <t>VARBERG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46265</v>
      </c>
      <c r="F134" t="inlineStr">
        <is>
          <t>HALLANDS LÄN</t>
        </is>
      </c>
      <c r="G134" t="inlineStr">
        <is>
          <t>VARBERG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46265</v>
      </c>
      <c r="F135" t="inlineStr">
        <is>
          <t>HALLANDS LÄN</t>
        </is>
      </c>
      <c r="G135" t="inlineStr">
        <is>
          <t>VARBERG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46265</v>
      </c>
      <c r="F136" t="inlineStr">
        <is>
          <t>HALLANDS LÄN</t>
        </is>
      </c>
      <c r="G136" t="inlineStr">
        <is>
          <t>VARBERG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46265</v>
      </c>
      <c r="F137" t="inlineStr">
        <is>
          <t>HALLANDS LÄN</t>
        </is>
      </c>
      <c r="G137" t="inlineStr">
        <is>
          <t>VARBERG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46265</v>
      </c>
      <c r="F138" t="inlineStr">
        <is>
          <t>HALLANDS LÄN</t>
        </is>
      </c>
      <c r="G138" t="inlineStr">
        <is>
          <t>VARBERG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46265</v>
      </c>
      <c r="F139" t="inlineStr">
        <is>
          <t>HALLANDS LÄN</t>
        </is>
      </c>
      <c r="G139" t="inlineStr">
        <is>
          <t>VARBERG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46265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45988</v>
      </c>
      <c r="E141" s="1" t="n">
        <v>46265</v>
      </c>
      <c r="F141" t="inlineStr">
        <is>
          <t>HALLANDS LÄN</t>
        </is>
      </c>
      <c r="G141" t="inlineStr">
        <is>
          <t>VARBERG</t>
        </is>
      </c>
      <c r="H141" t="inlineStr">
        <is>
          <t>Övriga statliga verk och myndigheter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46265</v>
      </c>
      <c r="F142" t="inlineStr">
        <is>
          <t>HALLANDS LÄN</t>
        </is>
      </c>
      <c r="G142" t="inlineStr">
        <is>
          <t>VARBERG</t>
        </is>
      </c>
      <c r="H142" t="inlineStr">
        <is>
          <t>Övriga statliga verk och myndigheter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46265</v>
      </c>
      <c r="F143" t="inlineStr">
        <is>
          <t>HALLANDS LÄN</t>
        </is>
      </c>
      <c r="G143" t="inlineStr">
        <is>
          <t>VARBERG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46265</v>
      </c>
      <c r="F144" t="inlineStr">
        <is>
          <t>HALLANDS LÄN</t>
        </is>
      </c>
      <c r="G144" t="inlineStr">
        <is>
          <t>VARBERG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46265</v>
      </c>
      <c r="F145" t="inlineStr">
        <is>
          <t>HALLANDS LÄN</t>
        </is>
      </c>
      <c r="G145" t="inlineStr">
        <is>
          <t>VARBERG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46265</v>
      </c>
      <c r="F146" t="inlineStr">
        <is>
          <t>HALLANDS LÄN</t>
        </is>
      </c>
      <c r="G146" t="inlineStr">
        <is>
          <t>VARBERG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46265</v>
      </c>
      <c r="F147" t="inlineStr">
        <is>
          <t>HALLANDS LÄN</t>
        </is>
      </c>
      <c r="G147" t="inlineStr">
        <is>
          <t>VARBERG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46265</v>
      </c>
      <c r="F148" t="inlineStr">
        <is>
          <t>HALLANDS LÄN</t>
        </is>
      </c>
      <c r="G148" t="inlineStr">
        <is>
          <t>VARBERG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46265</v>
      </c>
      <c r="F149" t="inlineStr">
        <is>
          <t>HALLANDS LÄN</t>
        </is>
      </c>
      <c r="G149" t="inlineStr">
        <is>
          <t>VARBERG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46265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46265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46265</v>
      </c>
      <c r="F152" t="inlineStr">
        <is>
          <t>HALLANDS LÄN</t>
        </is>
      </c>
      <c r="G152" t="inlineStr">
        <is>
          <t>VARBERG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46265</v>
      </c>
      <c r="F153" t="inlineStr">
        <is>
          <t>HALLANDS LÄN</t>
        </is>
      </c>
      <c r="G153" t="inlineStr">
        <is>
          <t>VARBERG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46265</v>
      </c>
      <c r="F154" t="inlineStr">
        <is>
          <t>HALLANDS LÄN</t>
        </is>
      </c>
      <c r="G154" t="inlineStr">
        <is>
          <t>VARBERG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46265</v>
      </c>
      <c r="F155" t="inlineStr">
        <is>
          <t>HALLANDS LÄN</t>
        </is>
      </c>
      <c r="G155" t="inlineStr">
        <is>
          <t>VARBERG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46265</v>
      </c>
      <c r="F156" t="inlineStr">
        <is>
          <t>HALLANDS LÄN</t>
        </is>
      </c>
      <c r="G156" t="inlineStr">
        <is>
          <t>VARBERG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46265</v>
      </c>
      <c r="F157" t="inlineStr">
        <is>
          <t>HALLANDS LÄN</t>
        </is>
      </c>
      <c r="G157" t="inlineStr">
        <is>
          <t>VARBERG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46265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45740</v>
      </c>
      <c r="E159" s="1" t="n">
        <v>46265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45392</v>
      </c>
      <c r="E160" s="1" t="n">
        <v>46265</v>
      </c>
      <c r="F160" t="inlineStr">
        <is>
          <t>HALLANDS LÄN</t>
        </is>
      </c>
      <c r="G160" t="inlineStr">
        <is>
          <t>VARBERG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46265</v>
      </c>
      <c r="F161" t="inlineStr">
        <is>
          <t>HALLANDS LÄN</t>
        </is>
      </c>
      <c r="G161" t="inlineStr">
        <is>
          <t>VARBERG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46265</v>
      </c>
      <c r="F162" t="inlineStr">
        <is>
          <t>HALLANDS LÄN</t>
        </is>
      </c>
      <c r="G162" t="inlineStr">
        <is>
          <t>VARBERG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46265</v>
      </c>
      <c r="F163" t="inlineStr">
        <is>
          <t>HALLANDS LÄN</t>
        </is>
      </c>
      <c r="G163" t="inlineStr">
        <is>
          <t>VARBERG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46265</v>
      </c>
      <c r="F164" t="inlineStr">
        <is>
          <t>HALLANDS LÄN</t>
        </is>
      </c>
      <c r="G164" t="inlineStr">
        <is>
          <t>VARBERG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46265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8263-2023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44974</v>
      </c>
      <c r="E166" s="1" t="n">
        <v>46265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46265</v>
      </c>
      <c r="F167" t="inlineStr">
        <is>
          <t>HALLANDS LÄN</t>
        </is>
      </c>
      <c r="G167" t="inlineStr">
        <is>
          <t>VARBERG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46265</v>
      </c>
      <c r="F168" t="inlineStr">
        <is>
          <t>HALLANDS LÄN</t>
        </is>
      </c>
      <c r="G168" t="inlineStr">
        <is>
          <t>VARBERG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46265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44980</v>
      </c>
      <c r="E170" s="1" t="n">
        <v>46265</v>
      </c>
      <c r="F170" t="inlineStr">
        <is>
          <t>HALLANDS LÄN</t>
        </is>
      </c>
      <c r="G170" t="inlineStr">
        <is>
          <t>VARBERG</t>
        </is>
      </c>
      <c r="H170" t="inlineStr">
        <is>
          <t>Övriga statliga verk och myndigheter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45007</v>
      </c>
      <c r="E171" s="1" t="n">
        <v>46265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46265</v>
      </c>
      <c r="F172" t="inlineStr">
        <is>
          <t>HALLANDS LÄN</t>
        </is>
      </c>
      <c r="G172" t="inlineStr">
        <is>
          <t>VARBERG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45770</v>
      </c>
      <c r="E173" s="1" t="n">
        <v>46265</v>
      </c>
      <c r="F173" t="inlineStr">
        <is>
          <t>HALLANDS LÄN</t>
        </is>
      </c>
      <c r="G173" t="inlineStr">
        <is>
          <t>VARBERG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46265</v>
      </c>
      <c r="F174" t="inlineStr">
        <is>
          <t>HALLANDS LÄN</t>
        </is>
      </c>
      <c r="G174" t="inlineStr">
        <is>
          <t>VARBERG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46265</v>
      </c>
      <c r="F175" t="inlineStr">
        <is>
          <t>HALLANDS LÄN</t>
        </is>
      </c>
      <c r="G175" t="inlineStr">
        <is>
          <t>VARBERG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46265</v>
      </c>
      <c r="F176" t="inlineStr">
        <is>
          <t>HALLANDS LÄN</t>
        </is>
      </c>
      <c r="G176" t="inlineStr">
        <is>
          <t>VARBERG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45852</v>
      </c>
      <c r="E177" s="1" t="n">
        <v>46265</v>
      </c>
      <c r="F177" t="inlineStr">
        <is>
          <t>HALLANDS LÄN</t>
        </is>
      </c>
      <c r="G177" t="inlineStr">
        <is>
          <t>VARBERG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46265</v>
      </c>
      <c r="F178" t="inlineStr">
        <is>
          <t>HALLANDS LÄN</t>
        </is>
      </c>
      <c r="G178" t="inlineStr">
        <is>
          <t>VARBERG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46265</v>
      </c>
      <c r="F179" t="inlineStr">
        <is>
          <t>HALLANDS LÄN</t>
        </is>
      </c>
      <c r="G179" t="inlineStr">
        <is>
          <t>VARBERG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46265</v>
      </c>
      <c r="F180" t="inlineStr">
        <is>
          <t>HALLANDS LÄN</t>
        </is>
      </c>
      <c r="G180" t="inlineStr">
        <is>
          <t>VARBERG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46265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46265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46265</v>
      </c>
      <c r="F183" t="inlineStr">
        <is>
          <t>HALLANDS LÄN</t>
        </is>
      </c>
      <c r="G183" t="inlineStr">
        <is>
          <t>VARBERG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46265</v>
      </c>
      <c r="F184" t="inlineStr">
        <is>
          <t>HALLANDS LÄN</t>
        </is>
      </c>
      <c r="G184" t="inlineStr">
        <is>
          <t>VARBERG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45200</v>
      </c>
      <c r="E185" s="1" t="n">
        <v>46265</v>
      </c>
      <c r="F185" t="inlineStr">
        <is>
          <t>HALLANDS LÄN</t>
        </is>
      </c>
      <c r="G185" t="inlineStr">
        <is>
          <t>VARBERG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45597</v>
      </c>
      <c r="E186" s="1" t="n">
        <v>46265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46265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46265</v>
      </c>
      <c r="F188" t="inlineStr">
        <is>
          <t>HALLANDS LÄN</t>
        </is>
      </c>
      <c r="G188" t="inlineStr">
        <is>
          <t>VARBERG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72361-2021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44545</v>
      </c>
      <c r="E189" s="1" t="n">
        <v>46265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44982</v>
      </c>
      <c r="E190" s="1" t="n">
        <v>46265</v>
      </c>
      <c r="F190" t="inlineStr">
        <is>
          <t>HALLANDS LÄN</t>
        </is>
      </c>
      <c r="G190" t="inlineStr">
        <is>
          <t>VARBERG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41864-2022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44829</v>
      </c>
      <c r="E191" s="1" t="n">
        <v>46265</v>
      </c>
      <c r="F191" t="inlineStr">
        <is>
          <t>HALLANDS LÄN</t>
        </is>
      </c>
      <c r="G191" t="inlineStr">
        <is>
          <t>VARBERG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46265</v>
      </c>
      <c r="F192" t="inlineStr">
        <is>
          <t>HALLANDS LÄN</t>
        </is>
      </c>
      <c r="G192" t="inlineStr">
        <is>
          <t>VARBERG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46265</v>
      </c>
      <c r="F193" t="inlineStr">
        <is>
          <t>HALLANDS LÄN</t>
        </is>
      </c>
      <c r="G193" t="inlineStr">
        <is>
          <t>VARBERG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46265</v>
      </c>
      <c r="F194" t="inlineStr">
        <is>
          <t>HALLANDS LÄN</t>
        </is>
      </c>
      <c r="G194" t="inlineStr">
        <is>
          <t>VARBERG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45313</v>
      </c>
      <c r="E195" s="1" t="n">
        <v>46265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46265</v>
      </c>
      <c r="F196" t="inlineStr">
        <is>
          <t>HALLANDS LÄN</t>
        </is>
      </c>
      <c r="G196" t="inlineStr">
        <is>
          <t>VARBERG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44767</v>
      </c>
      <c r="E197" s="1" t="n">
        <v>46265</v>
      </c>
      <c r="F197" t="inlineStr">
        <is>
          <t>HALLANDS LÄN</t>
        </is>
      </c>
      <c r="G197" t="inlineStr">
        <is>
          <t>VARBERG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46265</v>
      </c>
      <c r="F198" t="inlineStr">
        <is>
          <t>HALLANDS LÄN</t>
        </is>
      </c>
      <c r="G198" t="inlineStr">
        <is>
          <t>VARBERG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46265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45873</v>
      </c>
      <c r="E200" s="1" t="n">
        <v>46265</v>
      </c>
      <c r="F200" t="inlineStr">
        <is>
          <t>HALLANDS LÄN</t>
        </is>
      </c>
      <c r="G200" t="inlineStr">
        <is>
          <t>VARBERG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46265</v>
      </c>
      <c r="F201" t="inlineStr">
        <is>
          <t>HALLANDS LÄN</t>
        </is>
      </c>
      <c r="G201" t="inlineStr">
        <is>
          <t>VARBERG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46265</v>
      </c>
      <c r="F202" t="inlineStr">
        <is>
          <t>HALLANDS LÄN</t>
        </is>
      </c>
      <c r="G202" t="inlineStr">
        <is>
          <t>VARBERG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44831</v>
      </c>
      <c r="E203" s="1" t="n">
        <v>46265</v>
      </c>
      <c r="F203" t="inlineStr">
        <is>
          <t>HALLANDS LÄN</t>
        </is>
      </c>
      <c r="G203" t="inlineStr">
        <is>
          <t>VARBERG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44740</v>
      </c>
      <c r="E204" s="1" t="n">
        <v>46265</v>
      </c>
      <c r="F204" t="inlineStr">
        <is>
          <t>HALLANDS LÄN</t>
        </is>
      </c>
      <c r="G204" t="inlineStr">
        <is>
          <t>VARBERG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45877</v>
      </c>
      <c r="E205" s="1" t="n">
        <v>46265</v>
      </c>
      <c r="F205" t="inlineStr">
        <is>
          <t>HALLANDS LÄN</t>
        </is>
      </c>
      <c r="G205" t="inlineStr">
        <is>
          <t>VARBERG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46265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46265</v>
      </c>
      <c r="F207" t="inlineStr">
        <is>
          <t>HALLANDS LÄN</t>
        </is>
      </c>
      <c r="G207" t="inlineStr">
        <is>
          <t>VARBERG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46265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46265</v>
      </c>
      <c r="F209" t="inlineStr">
        <is>
          <t>HALLANDS LÄN</t>
        </is>
      </c>
      <c r="G209" t="inlineStr">
        <is>
          <t>VARBERG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46265</v>
      </c>
      <c r="F210" t="inlineStr">
        <is>
          <t>HALLANDS LÄN</t>
        </is>
      </c>
      <c r="G210" t="inlineStr">
        <is>
          <t>VARBERG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46265</v>
      </c>
      <c r="F211" t="inlineStr">
        <is>
          <t>HALLANDS LÄN</t>
        </is>
      </c>
      <c r="G211" t="inlineStr">
        <is>
          <t>VARBERG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46265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46265</v>
      </c>
      <c r="F213" t="inlineStr">
        <is>
          <t>HALLANDS LÄN</t>
        </is>
      </c>
      <c r="G213" t="inlineStr">
        <is>
          <t>VARBERG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46265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46265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46265</v>
      </c>
      <c r="F216" t="inlineStr">
        <is>
          <t>HALLANDS LÄN</t>
        </is>
      </c>
      <c r="G216" t="inlineStr">
        <is>
          <t>VARBERG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46265</v>
      </c>
      <c r="F217" t="inlineStr">
        <is>
          <t>HALLANDS LÄN</t>
        </is>
      </c>
      <c r="G217" t="inlineStr">
        <is>
          <t>VARBERG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46265</v>
      </c>
      <c r="F218" t="inlineStr">
        <is>
          <t>HALLANDS LÄN</t>
        </is>
      </c>
      <c r="G218" t="inlineStr">
        <is>
          <t>VARBERG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46265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46265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46265</v>
      </c>
      <c r="F221" t="inlineStr">
        <is>
          <t>HALLANDS LÄN</t>
        </is>
      </c>
      <c r="G221" t="inlineStr">
        <is>
          <t>VARBERG</t>
        </is>
      </c>
      <c r="H221" t="inlineStr">
        <is>
          <t>Övriga statliga verk och myndigheter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44644</v>
      </c>
      <c r="E222" s="1" t="n">
        <v>46265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45701</v>
      </c>
      <c r="E223" s="1" t="n">
        <v>46265</v>
      </c>
      <c r="F223" t="inlineStr">
        <is>
          <t>HALLANDS LÄN</t>
        </is>
      </c>
      <c r="G223" t="inlineStr">
        <is>
          <t>VARBERG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46265</v>
      </c>
      <c r="F224" t="inlineStr">
        <is>
          <t>HALLANDS LÄN</t>
        </is>
      </c>
      <c r="G224" t="inlineStr">
        <is>
          <t>VARBERG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46265</v>
      </c>
      <c r="F225" t="inlineStr">
        <is>
          <t>HALLANDS LÄN</t>
        </is>
      </c>
      <c r="G225" t="inlineStr">
        <is>
          <t>VARBERG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45085</v>
      </c>
      <c r="E226" s="1" t="n">
        <v>46265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46265</v>
      </c>
      <c r="F227" t="inlineStr">
        <is>
          <t>HALLANDS LÄN</t>
        </is>
      </c>
      <c r="G227" t="inlineStr">
        <is>
          <t>VARBERG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46008</v>
      </c>
      <c r="E228" s="1" t="n">
        <v>46265</v>
      </c>
      <c r="F228" t="inlineStr">
        <is>
          <t>HALLANDS LÄN</t>
        </is>
      </c>
      <c r="G228" t="inlineStr">
        <is>
          <t>VARBERG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46265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46265</v>
      </c>
      <c r="F230" t="inlineStr">
        <is>
          <t>HALLANDS LÄN</t>
        </is>
      </c>
      <c r="G230" t="inlineStr">
        <is>
          <t>VARBERG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46265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46265</v>
      </c>
      <c r="F232" t="inlineStr">
        <is>
          <t>HALLANDS LÄN</t>
        </is>
      </c>
      <c r="G232" t="inlineStr">
        <is>
          <t>VARBERG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46014</v>
      </c>
      <c r="E233" s="1" t="n">
        <v>46265</v>
      </c>
      <c r="F233" t="inlineStr">
        <is>
          <t>HALLANDS LÄN</t>
        </is>
      </c>
      <c r="G233" t="inlineStr">
        <is>
          <t>VARBERG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46014</v>
      </c>
      <c r="E234" s="1" t="n">
        <v>46265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46014</v>
      </c>
      <c r="E235" s="1" t="n">
        <v>46265</v>
      </c>
      <c r="F235" t="inlineStr">
        <is>
          <t>HALLANDS LÄN</t>
        </is>
      </c>
      <c r="G235" t="inlineStr">
        <is>
          <t>VARBERG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44970</v>
      </c>
      <c r="E236" s="1" t="n">
        <v>46265</v>
      </c>
      <c r="F236" t="inlineStr">
        <is>
          <t>HALLANDS LÄN</t>
        </is>
      </c>
      <c r="G236" t="inlineStr">
        <is>
          <t>VARBERG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46265</v>
      </c>
      <c r="F237" t="inlineStr">
        <is>
          <t>HALLANDS LÄN</t>
        </is>
      </c>
      <c r="G237" t="inlineStr">
        <is>
          <t>VARBERG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46265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46024</v>
      </c>
      <c r="E239" s="1" t="n">
        <v>46265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45509</v>
      </c>
      <c r="E240" s="1" t="n">
        <v>46265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46265</v>
      </c>
      <c r="F241" t="inlineStr">
        <is>
          <t>HALLANDS LÄN</t>
        </is>
      </c>
      <c r="G241" t="inlineStr">
        <is>
          <t>VARBERG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46265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46265</v>
      </c>
      <c r="F243" t="inlineStr">
        <is>
          <t>HALLANDS LÄN</t>
        </is>
      </c>
      <c r="G243" t="inlineStr">
        <is>
          <t>VARBERG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45075</v>
      </c>
      <c r="E244" s="1" t="n">
        <v>46265</v>
      </c>
      <c r="F244" t="inlineStr">
        <is>
          <t>HALLANDS LÄN</t>
        </is>
      </c>
      <c r="G244" t="inlineStr">
        <is>
          <t>VARBERG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46265</v>
      </c>
      <c r="F245" t="inlineStr">
        <is>
          <t>HALLANDS LÄN</t>
        </is>
      </c>
      <c r="G245" t="inlineStr">
        <is>
          <t>VARBERG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46265</v>
      </c>
      <c r="F246" t="inlineStr">
        <is>
          <t>HALLANDS LÄN</t>
        </is>
      </c>
      <c r="G246" t="inlineStr">
        <is>
          <t>VARBERG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46265</v>
      </c>
      <c r="F247" t="inlineStr">
        <is>
          <t>HALLANDS LÄN</t>
        </is>
      </c>
      <c r="G247" t="inlineStr">
        <is>
          <t>VARBERG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46265</v>
      </c>
      <c r="F248" t="inlineStr">
        <is>
          <t>HALLANDS LÄN</t>
        </is>
      </c>
      <c r="G248" t="inlineStr">
        <is>
          <t>VARBERG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25989-2022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44734</v>
      </c>
      <c r="E249" s="1" t="n">
        <v>46265</v>
      </c>
      <c r="F249" t="inlineStr">
        <is>
          <t>HALLANDS LÄN</t>
        </is>
      </c>
      <c r="G249" t="inlineStr">
        <is>
          <t>VARBERG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45744</v>
      </c>
      <c r="E250" s="1" t="n">
        <v>46265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46265</v>
      </c>
      <c r="F251" t="inlineStr">
        <is>
          <t>HALLANDS LÄN</t>
        </is>
      </c>
      <c r="G251" t="inlineStr">
        <is>
          <t>VARBERG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46047</v>
      </c>
      <c r="E252" s="1" t="n">
        <v>46265</v>
      </c>
      <c r="F252" t="inlineStr">
        <is>
          <t>HALLANDS LÄN</t>
        </is>
      </c>
      <c r="G252" t="inlineStr">
        <is>
          <t>VARBERG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46265</v>
      </c>
      <c r="F253" t="inlineStr">
        <is>
          <t>HALLANDS LÄN</t>
        </is>
      </c>
      <c r="G253" t="inlineStr">
        <is>
          <t>VARBERG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46047</v>
      </c>
      <c r="E254" s="1" t="n">
        <v>46265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46265</v>
      </c>
      <c r="F255" t="inlineStr">
        <is>
          <t>HALLANDS LÄN</t>
        </is>
      </c>
      <c r="G255" t="inlineStr">
        <is>
          <t>VARBERG</t>
        </is>
      </c>
      <c r="H255" t="inlineStr">
        <is>
          <t>Kyrkan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46265</v>
      </c>
      <c r="F256" t="inlineStr">
        <is>
          <t>HALLANDS LÄN</t>
        </is>
      </c>
      <c r="G256" t="inlineStr">
        <is>
          <t>VARBERG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46265</v>
      </c>
      <c r="F257" t="inlineStr">
        <is>
          <t>HALLANDS LÄN</t>
        </is>
      </c>
      <c r="G257" t="inlineStr">
        <is>
          <t>VARBERG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46265</v>
      </c>
      <c r="F258" t="inlineStr">
        <is>
          <t>HALLANDS LÄN</t>
        </is>
      </c>
      <c r="G258" t="inlineStr">
        <is>
          <t>VARBERG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46265</v>
      </c>
      <c r="F259" t="inlineStr">
        <is>
          <t>HALLANDS LÄN</t>
        </is>
      </c>
      <c r="G259" t="inlineStr">
        <is>
          <t>VARBERG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46265</v>
      </c>
      <c r="F260" t="inlineStr">
        <is>
          <t>HALLANDS LÄN</t>
        </is>
      </c>
      <c r="G260" t="inlineStr">
        <is>
          <t>VARBERG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46265</v>
      </c>
      <c r="F261" t="inlineStr">
        <is>
          <t>HALLANDS LÄN</t>
        </is>
      </c>
      <c r="G261" t="inlineStr">
        <is>
          <t>VARBERG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54048-2021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44470</v>
      </c>
      <c r="E262" s="1" t="n">
        <v>46265</v>
      </c>
      <c r="F262" t="inlineStr">
        <is>
          <t>HALLANDS LÄN</t>
        </is>
      </c>
      <c r="G262" t="inlineStr">
        <is>
          <t>VARBERG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45336</v>
      </c>
      <c r="E263" s="1" t="n">
        <v>46265</v>
      </c>
      <c r="F263" t="inlineStr">
        <is>
          <t>HALLANDS LÄN</t>
        </is>
      </c>
      <c r="G263" t="inlineStr">
        <is>
          <t>VARBERG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46265</v>
      </c>
      <c r="F264" t="inlineStr">
        <is>
          <t>HALLANDS LÄN</t>
        </is>
      </c>
      <c r="G264" t="inlineStr">
        <is>
          <t>VARBERG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45344</v>
      </c>
      <c r="E265" s="1" t="n">
        <v>46265</v>
      </c>
      <c r="F265" t="inlineStr">
        <is>
          <t>HALLANDS LÄN</t>
        </is>
      </c>
      <c r="G265" t="inlineStr">
        <is>
          <t>VARBERG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46265</v>
      </c>
      <c r="F266" t="inlineStr">
        <is>
          <t>HALLANDS LÄN</t>
        </is>
      </c>
      <c r="G266" t="inlineStr">
        <is>
          <t>VARBERG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46265</v>
      </c>
      <c r="F267" t="inlineStr">
        <is>
          <t>HALLANDS LÄN</t>
        </is>
      </c>
      <c r="G267" t="inlineStr">
        <is>
          <t>VARBERG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71841-2021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44543</v>
      </c>
      <c r="E268" s="1" t="n">
        <v>46265</v>
      </c>
      <c r="F268" t="inlineStr">
        <is>
          <t>HALLANDS LÄN</t>
        </is>
      </c>
      <c r="G268" t="inlineStr">
        <is>
          <t>VARBERG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46265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9235-2023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44980</v>
      </c>
      <c r="E270" s="1" t="n">
        <v>46265</v>
      </c>
      <c r="F270" t="inlineStr">
        <is>
          <t>HALLANDS LÄN</t>
        </is>
      </c>
      <c r="G270" t="inlineStr">
        <is>
          <t>VARBERG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44595</v>
      </c>
      <c r="E271" s="1" t="n">
        <v>46265</v>
      </c>
      <c r="F271" t="inlineStr">
        <is>
          <t>HALLANDS LÄN</t>
        </is>
      </c>
      <c r="G271" t="inlineStr">
        <is>
          <t>VARBERG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64767-2023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46265</v>
      </c>
      <c r="F272" t="inlineStr">
        <is>
          <t>HALLANDS LÄN</t>
        </is>
      </c>
      <c r="G272" t="inlineStr">
        <is>
          <t>VARBERG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44607</v>
      </c>
      <c r="E273" s="1" t="n">
        <v>46265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46265</v>
      </c>
      <c r="F274" t="inlineStr">
        <is>
          <t>HALLANDS LÄN</t>
        </is>
      </c>
      <c r="G274" t="inlineStr">
        <is>
          <t>VARBERG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46265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46265</v>
      </c>
      <c r="F276" t="inlineStr">
        <is>
          <t>HALLANDS LÄN</t>
        </is>
      </c>
      <c r="G276" t="inlineStr">
        <is>
          <t>VARBERG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46265</v>
      </c>
      <c r="F277" t="inlineStr">
        <is>
          <t>HALLANDS LÄN</t>
        </is>
      </c>
      <c r="G277" t="inlineStr">
        <is>
          <t>VARBERG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46265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46265</v>
      </c>
      <c r="F279" t="inlineStr">
        <is>
          <t>HALLANDS LÄN</t>
        </is>
      </c>
      <c r="G279" t="inlineStr">
        <is>
          <t>VARBERG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46265</v>
      </c>
      <c r="F280" t="inlineStr">
        <is>
          <t>HALLANDS LÄN</t>
        </is>
      </c>
      <c r="G280" t="inlineStr">
        <is>
          <t>VARBERG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45422</v>
      </c>
      <c r="E281" s="1" t="n">
        <v>46265</v>
      </c>
      <c r="F281" t="inlineStr">
        <is>
          <t>HALLANDS LÄN</t>
        </is>
      </c>
      <c r="G281" t="inlineStr">
        <is>
          <t>VARBERG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45434</v>
      </c>
      <c r="E282" s="1" t="n">
        <v>46265</v>
      </c>
      <c r="F282" t="inlineStr">
        <is>
          <t>HALLANDS LÄN</t>
        </is>
      </c>
      <c r="G282" t="inlineStr">
        <is>
          <t>VARBERG</t>
        </is>
      </c>
      <c r="I282" t="n">
        <v>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46265</v>
      </c>
      <c r="F283" t="inlineStr">
        <is>
          <t>HALLANDS LÄN</t>
        </is>
      </c>
      <c r="G283" t="inlineStr">
        <is>
          <t>VARBERG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45487</v>
      </c>
      <c r="E284" s="1" t="n">
        <v>46265</v>
      </c>
      <c r="F284" t="inlineStr">
        <is>
          <t>HALLANDS LÄN</t>
        </is>
      </c>
      <c r="G284" t="inlineStr">
        <is>
          <t>VARBERG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46265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46265</v>
      </c>
      <c r="F286" t="inlineStr">
        <is>
          <t>HALLANDS LÄN</t>
        </is>
      </c>
      <c r="G286" t="inlineStr">
        <is>
          <t>VARBERG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46265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46265</v>
      </c>
      <c r="F288" t="inlineStr">
        <is>
          <t>HALLANDS LÄN</t>
        </is>
      </c>
      <c r="G288" t="inlineStr">
        <is>
          <t>VARBERG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46265</v>
      </c>
      <c r="F289" t="inlineStr">
        <is>
          <t>HALLANDS LÄN</t>
        </is>
      </c>
      <c r="G289" t="inlineStr">
        <is>
          <t>VARBERG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45727</v>
      </c>
      <c r="E290" s="1" t="n">
        <v>46265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46265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46265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46265</v>
      </c>
      <c r="F293" t="inlineStr">
        <is>
          <t>HALLANDS LÄN</t>
        </is>
      </c>
      <c r="G293" t="inlineStr">
        <is>
          <t>VARBERG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44649</v>
      </c>
      <c r="E294" s="1" t="n">
        <v>46265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46265</v>
      </c>
      <c r="F295" t="inlineStr">
        <is>
          <t>HALLANDS LÄN</t>
        </is>
      </c>
      <c r="G295" t="inlineStr">
        <is>
          <t>VARBERG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46265</v>
      </c>
      <c r="F296" t="inlineStr">
        <is>
          <t>HALLANDS LÄN</t>
        </is>
      </c>
      <c r="G296" t="inlineStr">
        <is>
          <t>VARBERG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46265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46265</v>
      </c>
      <c r="F298" t="inlineStr">
        <is>
          <t>HALLANDS LÄN</t>
        </is>
      </c>
      <c r="G298" t="inlineStr">
        <is>
          <t>VARBERG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46265</v>
      </c>
      <c r="F299" t="inlineStr">
        <is>
          <t>HALLANDS LÄN</t>
        </is>
      </c>
      <c r="G299" t="inlineStr">
        <is>
          <t>VARBERG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46265</v>
      </c>
      <c r="F300" t="inlineStr">
        <is>
          <t>HALLANDS LÄN</t>
        </is>
      </c>
      <c r="G300" t="inlineStr">
        <is>
          <t>VARBERG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46265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46265</v>
      </c>
      <c r="F302" t="inlineStr">
        <is>
          <t>HALLANDS LÄN</t>
        </is>
      </c>
      <c r="G302" t="inlineStr">
        <is>
          <t>VARBERG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17401-2026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46265</v>
      </c>
      <c r="F303" t="inlineStr">
        <is>
          <t>HALLANDS LÄN</t>
        </is>
      </c>
      <c r="G303" t="inlineStr">
        <is>
          <t>VARBERG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46265</v>
      </c>
      <c r="F304" t="inlineStr">
        <is>
          <t>HALLANDS LÄN</t>
        </is>
      </c>
      <c r="G304" t="inlineStr">
        <is>
          <t>VARBERG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46265</v>
      </c>
      <c r="F305" t="inlineStr">
        <is>
          <t>HALLANDS LÄN</t>
        </is>
      </c>
      <c r="G305" t="inlineStr">
        <is>
          <t>VARBERG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45140</v>
      </c>
      <c r="E306" s="1" t="n">
        <v>46265</v>
      </c>
      <c r="F306" t="inlineStr">
        <is>
          <t>HALLANDS LÄN</t>
        </is>
      </c>
      <c r="G306" t="inlineStr">
        <is>
          <t>VARBERG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19130-2026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46132</v>
      </c>
      <c r="E307" s="1" t="n">
        <v>46265</v>
      </c>
      <c r="F307" t="inlineStr">
        <is>
          <t>HALLANDS LÄN</t>
        </is>
      </c>
      <c r="G307" t="inlineStr">
        <is>
          <t>VARBERG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21992-2022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46265</v>
      </c>
      <c r="F308" t="inlineStr">
        <is>
          <t>HALLANDS LÄN</t>
        </is>
      </c>
      <c r="G308" t="inlineStr">
        <is>
          <t>VARBERG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61075-2023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45261</v>
      </c>
      <c r="E309" s="1" t="n">
        <v>46265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44649</v>
      </c>
      <c r="E310" s="1" t="n">
        <v>46265</v>
      </c>
      <c r="F310" t="inlineStr">
        <is>
          <t>HALLANDS LÄN</t>
        </is>
      </c>
      <c r="G310" t="inlineStr">
        <is>
          <t>VARBERG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45177</v>
      </c>
      <c r="E311" s="1" t="n">
        <v>46265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45487</v>
      </c>
      <c r="E312" s="1" t="n">
        <v>46265</v>
      </c>
      <c r="F312" t="inlineStr">
        <is>
          <t>HALLANDS LÄN</t>
        </is>
      </c>
      <c r="G312" t="inlineStr">
        <is>
          <t>VARBERG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46265</v>
      </c>
      <c r="F313" t="inlineStr">
        <is>
          <t>HALLANDS LÄN</t>
        </is>
      </c>
      <c r="G313" t="inlineStr">
        <is>
          <t>VARBERG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46265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46265</v>
      </c>
      <c r="F315" t="inlineStr">
        <is>
          <t>HALLANDS LÄN</t>
        </is>
      </c>
      <c r="G315" t="inlineStr">
        <is>
          <t>VARBERG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46265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46265</v>
      </c>
      <c r="F317" t="inlineStr">
        <is>
          <t>HALLANDS LÄN</t>
        </is>
      </c>
      <c r="G317" t="inlineStr">
        <is>
          <t>VARBERG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46265</v>
      </c>
      <c r="F318" t="inlineStr">
        <is>
          <t>HALLANDS LÄN</t>
        </is>
      </c>
      <c r="G318" t="inlineStr">
        <is>
          <t>VARBERG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46265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46265</v>
      </c>
      <c r="F320" t="inlineStr">
        <is>
          <t>HALLANDS LÄN</t>
        </is>
      </c>
      <c r="G320" t="inlineStr">
        <is>
          <t>VARBERG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64203-2023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46265</v>
      </c>
      <c r="F321" t="inlineStr">
        <is>
          <t>HALLANDS LÄN</t>
        </is>
      </c>
      <c r="G321" t="inlineStr">
        <is>
          <t>VARBERG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45328</v>
      </c>
      <c r="E322" s="1" t="n">
        <v>46265</v>
      </c>
      <c r="F322" t="inlineStr">
        <is>
          <t>HALLANDS LÄN</t>
        </is>
      </c>
      <c r="G322" t="inlineStr">
        <is>
          <t>VARBERG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45397</v>
      </c>
      <c r="E323" s="1" t="n">
        <v>46265</v>
      </c>
      <c r="F323" t="inlineStr">
        <is>
          <t>HALLANDS LÄN</t>
        </is>
      </c>
      <c r="G323" t="inlineStr">
        <is>
          <t>VARBERG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45513</v>
      </c>
      <c r="E324" s="1" t="n">
        <v>46265</v>
      </c>
      <c r="F324" t="inlineStr">
        <is>
          <t>HALLANDS LÄN</t>
        </is>
      </c>
      <c r="G324" t="inlineStr">
        <is>
          <t>VARBERG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45717</v>
      </c>
      <c r="E325" s="1" t="n">
        <v>46265</v>
      </c>
      <c r="F325" t="inlineStr">
        <is>
          <t>HALLANDS LÄN</t>
        </is>
      </c>
      <c r="G325" t="inlineStr">
        <is>
          <t>VARBERG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46265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45313</v>
      </c>
      <c r="E327" s="1" t="n">
        <v>46265</v>
      </c>
      <c r="F327" t="inlineStr">
        <is>
          <t>HALLANDS LÄN</t>
        </is>
      </c>
      <c r="G327" t="inlineStr">
        <is>
          <t>VARBERG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46265</v>
      </c>
      <c r="F328" t="inlineStr">
        <is>
          <t>HALLANDS LÄN</t>
        </is>
      </c>
      <c r="G328" t="inlineStr">
        <is>
          <t>VARBERG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44851</v>
      </c>
      <c r="E329" s="1" t="n">
        <v>46265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46265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46265</v>
      </c>
      <c r="F331" t="inlineStr">
        <is>
          <t>HALLANDS LÄN</t>
        </is>
      </c>
      <c r="G331" t="inlineStr">
        <is>
          <t>VARBERG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46265</v>
      </c>
      <c r="F332" t="inlineStr">
        <is>
          <t>HALLANDS LÄN</t>
        </is>
      </c>
      <c r="G332" t="inlineStr">
        <is>
          <t>VARBERG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45401</v>
      </c>
      <c r="E333" s="1" t="n">
        <v>46265</v>
      </c>
      <c r="F333" t="inlineStr">
        <is>
          <t>HALLANDS LÄN</t>
        </is>
      </c>
      <c r="G333" t="inlineStr">
        <is>
          <t>VARBERG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46265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45238</v>
      </c>
      <c r="E335" s="1" t="n">
        <v>46265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46265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46265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46265</v>
      </c>
      <c r="F338" t="inlineStr">
        <is>
          <t>HALLANDS LÄN</t>
        </is>
      </c>
      <c r="G338" t="inlineStr">
        <is>
          <t>VARBERG</t>
        </is>
      </c>
      <c r="H338" t="inlineStr">
        <is>
          <t>Kyrkan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46265</v>
      </c>
      <c r="F339" t="inlineStr">
        <is>
          <t>HALLANDS LÄN</t>
        </is>
      </c>
      <c r="G339" t="inlineStr">
        <is>
          <t>VARBERG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44622</v>
      </c>
      <c r="E340" s="1" t="n">
        <v>46265</v>
      </c>
      <c r="F340" t="inlineStr">
        <is>
          <t>HALLANDS LÄN</t>
        </is>
      </c>
      <c r="G340" t="inlineStr">
        <is>
          <t>VARBERG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9819-2022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44620</v>
      </c>
      <c r="E341" s="1" t="n">
        <v>46265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44657</v>
      </c>
      <c r="E342" s="1" t="n">
        <v>46265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46265</v>
      </c>
      <c r="F343" t="inlineStr">
        <is>
          <t>HALLANDS LÄN</t>
        </is>
      </c>
      <c r="G343" t="inlineStr">
        <is>
          <t>VARBERG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46265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46265</v>
      </c>
      <c r="F345" t="inlineStr">
        <is>
          <t>HALLANDS LÄN</t>
        </is>
      </c>
      <c r="G345" t="inlineStr">
        <is>
          <t>VARBERG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48019-2022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46265</v>
      </c>
      <c r="F346" t="inlineStr">
        <is>
          <t>HALLANDS LÄN</t>
        </is>
      </c>
      <c r="G346" t="inlineStr">
        <is>
          <t>VARBERG</t>
        </is>
      </c>
      <c r="I346" t="n">
        <v>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46265</v>
      </c>
      <c r="F347" t="inlineStr">
        <is>
          <t>HALLANDS LÄN</t>
        </is>
      </c>
      <c r="G347" t="inlineStr">
        <is>
          <t>VARBERG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31198-2022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44770</v>
      </c>
      <c r="E348" s="1" t="n">
        <v>46265</v>
      </c>
      <c r="F348" t="inlineStr">
        <is>
          <t>HALLANDS LÄN</t>
        </is>
      </c>
      <c r="G348" t="inlineStr">
        <is>
          <t>VARBERG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46265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46265</v>
      </c>
      <c r="F350" t="inlineStr">
        <is>
          <t>HALLANDS LÄN</t>
        </is>
      </c>
      <c r="G350" t="inlineStr">
        <is>
          <t>VARBERG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45155</v>
      </c>
      <c r="E351" s="1" t="n">
        <v>46265</v>
      </c>
      <c r="F351" t="inlineStr">
        <is>
          <t>HALLANDS LÄN</t>
        </is>
      </c>
      <c r="G351" t="inlineStr">
        <is>
          <t>VARBERG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45014</v>
      </c>
      <c r="E352" s="1" t="n">
        <v>46265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46265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45013</v>
      </c>
      <c r="E354" s="1" t="n">
        <v>46265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44797</v>
      </c>
      <c r="E355" s="1" t="n">
        <v>46265</v>
      </c>
      <c r="F355" t="inlineStr">
        <is>
          <t>HALLANDS LÄN</t>
        </is>
      </c>
      <c r="G355" t="inlineStr">
        <is>
          <t>VARBERG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46265</v>
      </c>
      <c r="F356" t="inlineStr">
        <is>
          <t>HALLANDS LÄN</t>
        </is>
      </c>
      <c r="G356" t="inlineStr">
        <is>
          <t>VARBERG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46265</v>
      </c>
      <c r="F357" t="inlineStr">
        <is>
          <t>HALLANDS LÄN</t>
        </is>
      </c>
      <c r="G357" t="inlineStr">
        <is>
          <t>VARBERG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45974-2021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46265</v>
      </c>
      <c r="F358" t="inlineStr">
        <is>
          <t>HALLANDS LÄN</t>
        </is>
      </c>
      <c r="G358" t="inlineStr">
        <is>
          <t>VARBERG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46265</v>
      </c>
      <c r="F359" t="inlineStr">
        <is>
          <t>HALLANDS LÄN</t>
        </is>
      </c>
      <c r="G359" t="inlineStr">
        <is>
          <t>VARBERG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46265</v>
      </c>
      <c r="F360" t="inlineStr">
        <is>
          <t>HALLANDS LÄN</t>
        </is>
      </c>
      <c r="G360" t="inlineStr">
        <is>
          <t>VARBERG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46265</v>
      </c>
      <c r="F361" t="inlineStr">
        <is>
          <t>HALLANDS LÄN</t>
        </is>
      </c>
      <c r="G361" t="inlineStr">
        <is>
          <t>VARBERG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10940-2022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44628</v>
      </c>
      <c r="E362" s="1" t="n">
        <v>46265</v>
      </c>
      <c r="F362" t="inlineStr">
        <is>
          <t>HALLANDS LÄN</t>
        </is>
      </c>
      <c r="G362" t="inlineStr">
        <is>
          <t>VARBERG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46265</v>
      </c>
      <c r="F363" t="inlineStr">
        <is>
          <t>HALLANDS LÄN</t>
        </is>
      </c>
      <c r="G363" t="inlineStr">
        <is>
          <t>VARBERG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64488-2021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44511</v>
      </c>
      <c r="E364" s="1" t="n">
        <v>46265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46265</v>
      </c>
      <c r="F365" t="inlineStr">
        <is>
          <t>HALLANDS LÄN</t>
        </is>
      </c>
      <c r="G365" t="inlineStr">
        <is>
          <t>VARBERG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46265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15315-2022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44659</v>
      </c>
      <c r="E367" s="1" t="n">
        <v>46265</v>
      </c>
      <c r="F367" t="inlineStr">
        <is>
          <t>HALLANDS LÄN</t>
        </is>
      </c>
      <c r="G367" t="inlineStr">
        <is>
          <t>VARBERG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46265</v>
      </c>
      <c r="F368" t="inlineStr">
        <is>
          <t>HALLANDS LÄN</t>
        </is>
      </c>
      <c r="G368" t="inlineStr">
        <is>
          <t>VARBERG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46265</v>
      </c>
      <c r="F369" t="inlineStr">
        <is>
          <t>HALLANDS LÄN</t>
        </is>
      </c>
      <c r="G369" t="inlineStr">
        <is>
          <t>VARBERG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46265</v>
      </c>
      <c r="F370" t="inlineStr">
        <is>
          <t>HALLANDS LÄN</t>
        </is>
      </c>
      <c r="G370" t="inlineStr">
        <is>
          <t>VARBERG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46265</v>
      </c>
      <c r="F371" t="inlineStr">
        <is>
          <t>HALLANDS LÄN</t>
        </is>
      </c>
      <c r="G371" t="inlineStr">
        <is>
          <t>VARBERG</t>
        </is>
      </c>
      <c r="H371" t="inlineStr">
        <is>
          <t>Kyrkan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45090</v>
      </c>
      <c r="E372" s="1" t="n">
        <v>46265</v>
      </c>
      <c r="F372" t="inlineStr">
        <is>
          <t>HALLANDS LÄN</t>
        </is>
      </c>
      <c r="G372" t="inlineStr">
        <is>
          <t>VARBERG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45785</v>
      </c>
      <c r="E373" s="1" t="n">
        <v>46265</v>
      </c>
      <c r="F373" t="inlineStr">
        <is>
          <t>HALLANDS LÄN</t>
        </is>
      </c>
      <c r="G373" t="inlineStr">
        <is>
          <t>VARBERG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45792</v>
      </c>
      <c r="E374" s="1" t="n">
        <v>46265</v>
      </c>
      <c r="F374" t="inlineStr">
        <is>
          <t>HALLANDS LÄN</t>
        </is>
      </c>
      <c r="G374" t="inlineStr">
        <is>
          <t>VARBERG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46265</v>
      </c>
      <c r="F375" t="inlineStr">
        <is>
          <t>HALLANDS LÄN</t>
        </is>
      </c>
      <c r="G375" t="inlineStr">
        <is>
          <t>VARBERG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46265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46265</v>
      </c>
      <c r="F377" t="inlineStr">
        <is>
          <t>HALLANDS LÄN</t>
        </is>
      </c>
      <c r="G377" t="inlineStr">
        <is>
          <t>VARBERG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45635</v>
      </c>
      <c r="E378" s="1" t="n">
        <v>46265</v>
      </c>
      <c r="F378" t="inlineStr">
        <is>
          <t>HALLANDS LÄN</t>
        </is>
      </c>
      <c r="G378" t="inlineStr">
        <is>
          <t>VARBERG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45665</v>
      </c>
      <c r="E379" s="1" t="n">
        <v>46265</v>
      </c>
      <c r="F379" t="inlineStr">
        <is>
          <t>HALLANDS LÄN</t>
        </is>
      </c>
      <c r="G379" t="inlineStr">
        <is>
          <t>VARBERG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46265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45539</v>
      </c>
      <c r="E381" s="1" t="n">
        <v>46265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52975-2022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44875</v>
      </c>
      <c r="E382" s="1" t="n">
        <v>46265</v>
      </c>
      <c r="F382" t="inlineStr">
        <is>
          <t>HALLANDS LÄN</t>
        </is>
      </c>
      <c r="G382" t="inlineStr">
        <is>
          <t>VARBERG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45224</v>
      </c>
      <c r="E383" s="1" t="n">
        <v>46265</v>
      </c>
      <c r="F383" t="inlineStr">
        <is>
          <t>HALLANDS LÄN</t>
        </is>
      </c>
      <c r="G383" t="inlineStr">
        <is>
          <t>VARBERG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44652</v>
      </c>
      <c r="E384" s="1" t="n">
        <v>46265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45762</v>
      </c>
      <c r="E385" s="1" t="n">
        <v>46265</v>
      </c>
      <c r="F385" t="inlineStr">
        <is>
          <t>HALLANDS LÄN</t>
        </is>
      </c>
      <c r="G385" t="inlineStr">
        <is>
          <t>VARBERG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46265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45665</v>
      </c>
      <c r="E387" s="1" t="n">
        <v>46265</v>
      </c>
      <c r="F387" t="inlineStr">
        <is>
          <t>HALLANDS LÄN</t>
        </is>
      </c>
      <c r="G387" t="inlineStr">
        <is>
          <t>VARBERG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46265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44935</v>
      </c>
      <c r="E389" s="1" t="n">
        <v>46265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46265</v>
      </c>
      <c r="F390" t="inlineStr">
        <is>
          <t>HALLANDS LÄN</t>
        </is>
      </c>
      <c r="G390" t="inlineStr">
        <is>
          <t>VARBERG</t>
        </is>
      </c>
      <c r="H390" t="inlineStr">
        <is>
          <t>Kyrkan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13600-2025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45736</v>
      </c>
      <c r="E391" s="1" t="n">
        <v>46265</v>
      </c>
      <c r="F391" t="inlineStr">
        <is>
          <t>HALLANDS LÄN</t>
        </is>
      </c>
      <c r="G391" t="inlineStr">
        <is>
          <t>VARBERG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44811</v>
      </c>
      <c r="E392" s="1" t="n">
        <v>46265</v>
      </c>
      <c r="F392" t="inlineStr">
        <is>
          <t>HALLANDS LÄN</t>
        </is>
      </c>
      <c r="G392" t="inlineStr">
        <is>
          <t>VARBERG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44837</v>
      </c>
      <c r="E393" s="1" t="n">
        <v>46265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45457</v>
      </c>
      <c r="E394" s="1" t="n">
        <v>46265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46265</v>
      </c>
      <c r="F395" t="inlineStr">
        <is>
          <t>HALLANDS LÄN</t>
        </is>
      </c>
      <c r="G395" t="inlineStr">
        <is>
          <t>VARBERG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46265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46265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46265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46265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46265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45881</v>
      </c>
      <c r="E401" s="1" t="n">
        <v>46265</v>
      </c>
      <c r="F401" t="inlineStr">
        <is>
          <t>HALLANDS LÄN</t>
        </is>
      </c>
      <c r="G401" t="inlineStr">
        <is>
          <t>VARBERG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46265</v>
      </c>
      <c r="F402" t="inlineStr">
        <is>
          <t>HALLANDS LÄN</t>
        </is>
      </c>
      <c r="G402" t="inlineStr">
        <is>
          <t>VARBERG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46265</v>
      </c>
      <c r="F403" t="inlineStr">
        <is>
          <t>HALLANDS LÄN</t>
        </is>
      </c>
      <c r="G403" t="inlineStr">
        <is>
          <t>VARBERG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45749</v>
      </c>
      <c r="E404" s="1" t="n">
        <v>46265</v>
      </c>
      <c r="F404" t="inlineStr">
        <is>
          <t>HALLANDS LÄN</t>
        </is>
      </c>
      <c r="G404" t="inlineStr">
        <is>
          <t>VARBERG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46265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46265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45184</v>
      </c>
      <c r="E407" s="1" t="n">
        <v>46265</v>
      </c>
      <c r="F407" t="inlineStr">
        <is>
          <t>HALLANDS LÄN</t>
        </is>
      </c>
      <c r="G407" t="inlineStr">
        <is>
          <t>VARBERG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46265</v>
      </c>
      <c r="F408" t="inlineStr">
        <is>
          <t>HALLANDS LÄN</t>
        </is>
      </c>
      <c r="G408" t="inlineStr">
        <is>
          <t>VARBERG</t>
        </is>
      </c>
      <c r="I408" t="n">
        <v>8.5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45404</v>
      </c>
      <c r="E409" s="1" t="n">
        <v>46265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46265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46265</v>
      </c>
      <c r="F411" t="inlineStr">
        <is>
          <t>HALLANDS LÄN</t>
        </is>
      </c>
      <c r="G411" t="inlineStr">
        <is>
          <t>VARBERG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46265</v>
      </c>
      <c r="F412" t="inlineStr">
        <is>
          <t>HALLANDS LÄN</t>
        </is>
      </c>
      <c r="G412" t="inlineStr">
        <is>
          <t>VARBERG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46265</v>
      </c>
      <c r="F413" t="inlineStr">
        <is>
          <t>HALLANDS LÄN</t>
        </is>
      </c>
      <c r="G413" t="inlineStr">
        <is>
          <t>VARBERG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46265</v>
      </c>
      <c r="F414" t="inlineStr">
        <is>
          <t>HALLANDS LÄN</t>
        </is>
      </c>
      <c r="G414" t="inlineStr">
        <is>
          <t>VARBERG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46164</v>
      </c>
      <c r="E415" s="1" t="n">
        <v>46265</v>
      </c>
      <c r="F415" t="inlineStr">
        <is>
          <t>HALLANDS LÄN</t>
        </is>
      </c>
      <c r="G415" t="inlineStr">
        <is>
          <t>VARBERG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23640-2026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46164</v>
      </c>
      <c r="E416" s="1" t="n">
        <v>46265</v>
      </c>
      <c r="F416" t="inlineStr">
        <is>
          <t>HALLANDS LÄN</t>
        </is>
      </c>
      <c r="G416" t="inlineStr">
        <is>
          <t>VARBERG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46265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45580</v>
      </c>
      <c r="E418" s="1" t="n">
        <v>46265</v>
      </c>
      <c r="F418" t="inlineStr">
        <is>
          <t>HALLANDS LÄN</t>
        </is>
      </c>
      <c r="G418" t="inlineStr">
        <is>
          <t>VARBERG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46265</v>
      </c>
      <c r="F419" t="inlineStr">
        <is>
          <t>HALLANDS LÄN</t>
        </is>
      </c>
      <c r="G419" t="inlineStr">
        <is>
          <t>VARBERG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46265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46265</v>
      </c>
      <c r="F421" t="inlineStr">
        <is>
          <t>HALLANDS LÄN</t>
        </is>
      </c>
      <c r="G421" t="inlineStr">
        <is>
          <t>VARBERG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46265</v>
      </c>
      <c r="F422" t="inlineStr">
        <is>
          <t>HALLANDS LÄN</t>
        </is>
      </c>
      <c r="G422" t="inlineStr">
        <is>
          <t>VARBERG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46265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46265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46265</v>
      </c>
      <c r="F425" t="inlineStr">
        <is>
          <t>HALLANDS LÄN</t>
        </is>
      </c>
      <c r="G425" t="inlineStr">
        <is>
          <t>VARBERG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46265</v>
      </c>
      <c r="F426" t="inlineStr">
        <is>
          <t>HALLANDS LÄN</t>
        </is>
      </c>
      <c r="G426" t="inlineStr">
        <is>
          <t>VARBERG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46265</v>
      </c>
      <c r="F427" t="inlineStr">
        <is>
          <t>HALLANDS LÄN</t>
        </is>
      </c>
      <c r="G427" t="inlineStr">
        <is>
          <t>VARBERG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46265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46265</v>
      </c>
      <c r="F429" t="inlineStr">
        <is>
          <t>HALLANDS LÄN</t>
        </is>
      </c>
      <c r="G429" t="inlineStr">
        <is>
          <t>VARBERG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46234</v>
      </c>
      <c r="E430" s="1" t="n">
        <v>46265</v>
      </c>
      <c r="F430" t="inlineStr">
        <is>
          <t>HALLANDS LÄN</t>
        </is>
      </c>
      <c r="G430" t="inlineStr">
        <is>
          <t>VARBERG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46265</v>
      </c>
      <c r="F431" t="inlineStr">
        <is>
          <t>HALLANDS LÄN</t>
        </is>
      </c>
      <c r="G431" t="inlineStr">
        <is>
          <t>VARBERG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46265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46265</v>
      </c>
      <c r="F433" t="inlineStr">
        <is>
          <t>HALLANDS LÄN</t>
        </is>
      </c>
      <c r="G433" t="inlineStr">
        <is>
          <t>VARBERG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46265</v>
      </c>
      <c r="F434" t="inlineStr">
        <is>
          <t>HALLANDS LÄN</t>
        </is>
      </c>
      <c r="G434" t="inlineStr">
        <is>
          <t>VARBERG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46265</v>
      </c>
      <c r="F435" t="inlineStr">
        <is>
          <t>HALLANDS LÄN</t>
        </is>
      </c>
      <c r="G435" t="inlineStr">
        <is>
          <t>VARBERG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46265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46265</v>
      </c>
      <c r="F437" t="inlineStr">
        <is>
          <t>HALLANDS LÄN</t>
        </is>
      </c>
      <c r="G437" t="inlineStr">
        <is>
          <t>VARBERG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46265</v>
      </c>
      <c r="F438" t="inlineStr">
        <is>
          <t>HALLANDS LÄN</t>
        </is>
      </c>
      <c r="G438" t="inlineStr">
        <is>
          <t>VARBERG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46265</v>
      </c>
      <c r="F439" t="inlineStr">
        <is>
          <t>HALLANDS LÄN</t>
        </is>
      </c>
      <c r="G439" t="inlineStr">
        <is>
          <t>VARBERG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46265</v>
      </c>
      <c r="F440" t="inlineStr">
        <is>
          <t>HALLANDS LÄN</t>
        </is>
      </c>
      <c r="G440" t="inlineStr">
        <is>
          <t>VARBERG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46251</v>
      </c>
      <c r="E441" s="1" t="n">
        <v>46265</v>
      </c>
      <c r="F441" t="inlineStr">
        <is>
          <t>HALLANDS LÄN</t>
        </is>
      </c>
      <c r="G441" t="inlineStr">
        <is>
          <t>VARBERG</t>
        </is>
      </c>
      <c r="H441" t="inlineStr">
        <is>
          <t>Övriga statliga verk och myndigheter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46265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46265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46265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46265</v>
      </c>
      <c r="F445" t="inlineStr">
        <is>
          <t>HALLANDS LÄN</t>
        </is>
      </c>
      <c r="G445" t="inlineStr">
        <is>
          <t>VARBERG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46265</v>
      </c>
      <c r="F446" t="inlineStr">
        <is>
          <t>HALLANDS LÄN</t>
        </is>
      </c>
      <c r="G446" t="inlineStr">
        <is>
          <t>VARBERG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46265</v>
      </c>
      <c r="F447" t="inlineStr">
        <is>
          <t>HALLANDS LÄN</t>
        </is>
      </c>
      <c r="G447" t="inlineStr">
        <is>
          <t>VARBERG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46265</v>
      </c>
      <c r="F448" t="inlineStr">
        <is>
          <t>HALLANDS LÄN</t>
        </is>
      </c>
      <c r="G448" t="inlineStr">
        <is>
          <t>VARBERG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46265</v>
      </c>
      <c r="F449" t="inlineStr">
        <is>
          <t>HALLANDS LÄN</t>
        </is>
      </c>
      <c r="G449" t="inlineStr">
        <is>
          <t>VARBERG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46265</v>
      </c>
      <c r="F450" t="inlineStr">
        <is>
          <t>HALLANDS LÄN</t>
        </is>
      </c>
      <c r="G450" t="inlineStr">
        <is>
          <t>VARBERG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51932-2024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45607</v>
      </c>
      <c r="E451" s="1" t="n">
        <v>46265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9614-2024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45361</v>
      </c>
      <c r="E452" s="1" t="n">
        <v>46265</v>
      </c>
      <c r="F452" t="inlineStr">
        <is>
          <t>HALLANDS LÄN</t>
        </is>
      </c>
      <c r="G452" t="inlineStr">
        <is>
          <t>VARBERG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46265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46265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46265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46265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46265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46265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46265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46265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46265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46265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46265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46265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46265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46265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46265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46265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46265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46265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2026-08-31T09:58:51Z</dcterms:created>
  <dcterms:modified xmlns:dcterms="http://purl.org/dc/terms/" xmlns:xsi="http://www.w3.org/2001/XMLSchema-instance" xsi:type="dcterms:W3CDTF">2026-08-31T09:58:52Z</dcterms:modified>
</cp:coreProperties>
</file>