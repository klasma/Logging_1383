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45644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45644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45644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45644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45644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45644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45644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45644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45644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45644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14048-2024</t>
        </is>
      </c>
      <c r="B12" s="1" t="n">
        <v>45392</v>
      </c>
      <c r="C12" s="1" t="n">
        <v>45644</v>
      </c>
      <c r="D12" t="inlineStr">
        <is>
          <t>HALLANDS LÄN</t>
        </is>
      </c>
      <c r="E12" t="inlineStr">
        <is>
          <t>VARBERG</t>
        </is>
      </c>
      <c r="G12" t="n">
        <v>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HYPERLINK("https://klasma.github.io/Logging_1383/artfynd/A 14048-2024 artfynd.xlsx", "A 14048-2024")</f>
        <v/>
      </c>
      <c r="T12">
        <f>HYPERLINK("https://klasma.github.io/Logging_1383/kartor/A 14048-2024 karta.png", "A 14048-2024")</f>
        <v/>
      </c>
      <c r="V12">
        <f>HYPERLINK("https://klasma.github.io/Logging_1383/klagomål/A 14048-2024 FSC-klagomål.docx", "A 14048-2024")</f>
        <v/>
      </c>
      <c r="W12">
        <f>HYPERLINK("https://klasma.github.io/Logging_1383/klagomålsmail/A 14048-2024 FSC-klagomål mail.docx", "A 14048-2024")</f>
        <v/>
      </c>
      <c r="X12">
        <f>HYPERLINK("https://klasma.github.io/Logging_1383/tillsyn/A 14048-2024 tillsynsbegäran.docx", "A 14048-2024")</f>
        <v/>
      </c>
      <c r="Y12">
        <f>HYPERLINK("https://klasma.github.io/Logging_1383/tillsynsmail/A 14048-2024 tillsynsbegäran mail.docx", "A 14048-2024")</f>
        <v/>
      </c>
    </row>
    <row r="13" ht="15" customHeight="1">
      <c r="A13" t="inlineStr">
        <is>
          <t>A 30253-2024</t>
        </is>
      </c>
      <c r="B13" s="1" t="n">
        <v>45490</v>
      </c>
      <c r="C13" s="1" t="n">
        <v>45644</v>
      </c>
      <c r="D13" t="inlineStr">
        <is>
          <t>HALLANDS LÄN</t>
        </is>
      </c>
      <c r="E13" t="inlineStr">
        <is>
          <t>VARBERG</t>
        </is>
      </c>
      <c r="G13" t="n">
        <v>6.7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Dvärglin
Grönsångare</t>
        </is>
      </c>
      <c r="S13">
        <f>HYPERLINK("https://klasma.github.io/Logging_1383/artfynd/A 30253-2024 artfynd.xlsx", "A 30253-2024")</f>
        <v/>
      </c>
      <c r="T13">
        <f>HYPERLINK("https://klasma.github.io/Logging_1383/kartor/A 30253-2024 karta.png", "A 30253-2024")</f>
        <v/>
      </c>
      <c r="V13">
        <f>HYPERLINK("https://klasma.github.io/Logging_1383/klagomål/A 30253-2024 FSC-klagomål.docx", "A 30253-2024")</f>
        <v/>
      </c>
      <c r="W13">
        <f>HYPERLINK("https://klasma.github.io/Logging_1383/klagomålsmail/A 30253-2024 FSC-klagomål mail.docx", "A 30253-2024")</f>
        <v/>
      </c>
      <c r="X13">
        <f>HYPERLINK("https://klasma.github.io/Logging_1383/tillsyn/A 30253-2024 tillsynsbegäran.docx", "A 30253-2024")</f>
        <v/>
      </c>
      <c r="Y13">
        <f>HYPERLINK("https://klasma.github.io/Logging_1383/tillsynsmail/A 30253-2024 tillsynsbegäran mail.docx", "A 30253-2024")</f>
        <v/>
      </c>
      <c r="Z13">
        <f>HYPERLINK("https://klasma.github.io/Logging_1383/fåglar/A 30253-2024 prioriterade fågelarter.docx", "A 30253-2024")</f>
        <v/>
      </c>
    </row>
    <row r="14" ht="15" customHeight="1">
      <c r="A14" t="inlineStr">
        <is>
          <t>A 10630-2020</t>
        </is>
      </c>
      <c r="B14" s="1" t="n">
        <v>43887</v>
      </c>
      <c r="C14" s="1" t="n">
        <v>45644</v>
      </c>
      <c r="D14" t="inlineStr">
        <is>
          <t>HALLANDS LÄN</t>
        </is>
      </c>
      <c r="E14" t="inlineStr">
        <is>
          <t>VARBERG</t>
        </is>
      </c>
      <c r="G14" t="n">
        <v>17.6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HYPERLINK("https://klasma.github.io/Logging_1383/artfynd/A 10630-2020 artfynd.xlsx", "A 10630-2020")</f>
        <v/>
      </c>
      <c r="T14">
        <f>HYPERLINK("https://klasma.github.io/Logging_1383/kartor/A 10630-2020 karta.png", "A 10630-2020")</f>
        <v/>
      </c>
      <c r="V14">
        <f>HYPERLINK("https://klasma.github.io/Logging_1383/klagomål/A 10630-2020 FSC-klagomål.docx", "A 10630-2020")</f>
        <v/>
      </c>
      <c r="W14">
        <f>HYPERLINK("https://klasma.github.io/Logging_1383/klagomålsmail/A 10630-2020 FSC-klagomål mail.docx", "A 10630-2020")</f>
        <v/>
      </c>
      <c r="X14">
        <f>HYPERLINK("https://klasma.github.io/Logging_1383/tillsyn/A 10630-2020 tillsynsbegäran.docx", "A 10630-2020")</f>
        <v/>
      </c>
      <c r="Y14">
        <f>HYPERLINK("https://klasma.github.io/Logging_1383/tillsynsmail/A 10630-2020 tillsynsbegäran mail.docx", "A 10630-2020")</f>
        <v/>
      </c>
    </row>
    <row r="15" ht="15" customHeight="1">
      <c r="A15" t="inlineStr">
        <is>
          <t>A 61355-2020</t>
        </is>
      </c>
      <c r="B15" s="1" t="n">
        <v>44155</v>
      </c>
      <c r="C15" s="1" t="n">
        <v>45644</v>
      </c>
      <c r="D15" t="inlineStr">
        <is>
          <t>HALLANDS LÄN</t>
        </is>
      </c>
      <c r="E15" t="inlineStr">
        <is>
          <t>VARBERG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HYPERLINK("https://klasma.github.io/Logging_1383/artfynd/A 61355-2020 artfynd.xlsx", "A 61355-2020")</f>
        <v/>
      </c>
      <c r="T15">
        <f>HYPERLINK("https://klasma.github.io/Logging_1383/kartor/A 61355-2020 karta.png", "A 61355-2020")</f>
        <v/>
      </c>
      <c r="V15">
        <f>HYPERLINK("https://klasma.github.io/Logging_1383/klagomål/A 61355-2020 FSC-klagomål.docx", "A 61355-2020")</f>
        <v/>
      </c>
      <c r="W15">
        <f>HYPERLINK("https://klasma.github.io/Logging_1383/klagomålsmail/A 61355-2020 FSC-klagomål mail.docx", "A 61355-2020")</f>
        <v/>
      </c>
      <c r="X15">
        <f>HYPERLINK("https://klasma.github.io/Logging_1383/tillsyn/A 61355-2020 tillsynsbegäran.docx", "A 61355-2020")</f>
        <v/>
      </c>
      <c r="Y15">
        <f>HYPERLINK("https://klasma.github.io/Logging_1383/tillsynsmail/A 61355-2020 tillsynsbegäran mail.docx", "A 61355-2020")</f>
        <v/>
      </c>
      <c r="Z15">
        <f>HYPERLINK("https://klasma.github.io/Logging_1383/fåglar/A 61355-2020 prioriterade fågelarter.docx", "A 61355-2020")</f>
        <v/>
      </c>
    </row>
    <row r="16" ht="15" customHeight="1">
      <c r="A16" t="inlineStr">
        <is>
          <t>A 68882-2020</t>
        </is>
      </c>
      <c r="B16" s="1" t="n">
        <v>44187</v>
      </c>
      <c r="C16" s="1" t="n">
        <v>45644</v>
      </c>
      <c r="D16" t="inlineStr">
        <is>
          <t>HALLANDS LÄN</t>
        </is>
      </c>
      <c r="E16" t="inlineStr">
        <is>
          <t>VARBERG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68882-2020 artfynd.xlsx", "A 68882-2020")</f>
        <v/>
      </c>
      <c r="T16">
        <f>HYPERLINK("https://klasma.github.io/Logging_1383/kartor/A 68882-2020 karta.png", "A 68882-2020")</f>
        <v/>
      </c>
      <c r="V16">
        <f>HYPERLINK("https://klasma.github.io/Logging_1383/klagomål/A 68882-2020 FSC-klagomål.docx", "A 68882-2020")</f>
        <v/>
      </c>
      <c r="W16">
        <f>HYPERLINK("https://klasma.github.io/Logging_1383/klagomålsmail/A 68882-2020 FSC-klagomål mail.docx", "A 68882-2020")</f>
        <v/>
      </c>
      <c r="X16">
        <f>HYPERLINK("https://klasma.github.io/Logging_1383/tillsyn/A 68882-2020 tillsynsbegäran.docx", "A 68882-2020")</f>
        <v/>
      </c>
      <c r="Y16">
        <f>HYPERLINK("https://klasma.github.io/Logging_1383/tillsynsmail/A 68882-2020 tillsynsbegäran mail.docx", "A 68882-2020")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45644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45644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30534-2021</t>
        </is>
      </c>
      <c r="B19" s="1" t="n">
        <v>44364</v>
      </c>
      <c r="C19" s="1" t="n">
        <v>45644</v>
      </c>
      <c r="D19" t="inlineStr">
        <is>
          <t>HALLANDS LÄN</t>
        </is>
      </c>
      <c r="E19" t="inlineStr">
        <is>
          <t>VARBERG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HYPERLINK("https://klasma.github.io/Logging_1383/artfynd/A 30534-2021 artfynd.xlsx", "A 30534-2021")</f>
        <v/>
      </c>
      <c r="T19">
        <f>HYPERLINK("https://klasma.github.io/Logging_1383/kartor/A 30534-2021 karta.png", "A 30534-2021")</f>
        <v/>
      </c>
      <c r="V19">
        <f>HYPERLINK("https://klasma.github.io/Logging_1383/klagomål/A 30534-2021 FSC-klagomål.docx", "A 30534-2021")</f>
        <v/>
      </c>
      <c r="W19">
        <f>HYPERLINK("https://klasma.github.io/Logging_1383/klagomålsmail/A 30534-2021 FSC-klagomål mail.docx", "A 30534-2021")</f>
        <v/>
      </c>
      <c r="X19">
        <f>HYPERLINK("https://klasma.github.io/Logging_1383/tillsyn/A 30534-2021 tillsynsbegäran.docx", "A 30534-2021")</f>
        <v/>
      </c>
      <c r="Y19">
        <f>HYPERLINK("https://klasma.github.io/Logging_1383/tillsynsmail/A 30534-2021 tillsynsbegäran mail.docx", "A 30534-2021")</f>
        <v/>
      </c>
    </row>
    <row r="20" ht="15" customHeight="1">
      <c r="A20" t="inlineStr">
        <is>
          <t>A 53915-2021</t>
        </is>
      </c>
      <c r="B20" s="1" t="n">
        <v>44469</v>
      </c>
      <c r="C20" s="1" t="n">
        <v>45644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36719-2022</t>
        </is>
      </c>
      <c r="B21" s="1" t="n">
        <v>44805</v>
      </c>
      <c r="C21" s="1" t="n">
        <v>45644</v>
      </c>
      <c r="D21" t="inlineStr">
        <is>
          <t>HALLANDS LÄN</t>
        </is>
      </c>
      <c r="E21" t="inlineStr">
        <is>
          <t>VARBERG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HYPERLINK("https://klasma.github.io/Logging_1383/artfynd/A 36719-2022 artfynd.xlsx", "A 36719-2022")</f>
        <v/>
      </c>
      <c r="T21">
        <f>HYPERLINK("https://klasma.github.io/Logging_1383/kartor/A 36719-2022 karta.png", "A 36719-2022")</f>
        <v/>
      </c>
      <c r="V21">
        <f>HYPERLINK("https://klasma.github.io/Logging_1383/klagomål/A 36719-2022 FSC-klagomål.docx", "A 36719-2022")</f>
        <v/>
      </c>
      <c r="W21">
        <f>HYPERLINK("https://klasma.github.io/Logging_1383/klagomålsmail/A 36719-2022 FSC-klagomål mail.docx", "A 36719-2022")</f>
        <v/>
      </c>
      <c r="X21">
        <f>HYPERLINK("https://klasma.github.io/Logging_1383/tillsyn/A 36719-2022 tillsynsbegäran.docx", "A 36719-2022")</f>
        <v/>
      </c>
      <c r="Y21">
        <f>HYPERLINK("https://klasma.github.io/Logging_1383/tillsynsmail/A 36719-2022 tillsynsbegäran mail.docx", "A 36719-2022")</f>
        <v/>
      </c>
      <c r="Z21">
        <f>HYPERLINK("https://klasma.github.io/Logging_1383/fåglar/A 36719-2022 prioriterade fågelarter.docx", "A 36719-2022")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45644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45644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45644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45644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45644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45644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45644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45644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45644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45644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45644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45644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45644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45644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45644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45644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45644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45644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45644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45644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45644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45644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45644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45644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45644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45644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45644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45644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45644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45644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45644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45644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45644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45644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45644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45644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45644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45644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45644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45644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45644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45644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45644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45644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45644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45644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45644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45644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45644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45644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45644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45644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45644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45644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45644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45644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45644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45644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45644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45644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45644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45644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45644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45644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45644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45644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45644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45644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45644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45644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45644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45644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45644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45644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45644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45644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45644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45644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45644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45644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45644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45644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45644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45644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45644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45644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45644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45644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45644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45644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45644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45644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45644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45644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45644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45644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45644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45644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45644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45644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45644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45644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45644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45644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45644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45644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45644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45644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45644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45644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45644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45644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45644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45644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45644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45644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45644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45644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45644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45644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45644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45644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45644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45644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45644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45644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45644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45644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45644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45644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45644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45644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45644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45644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45644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45644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45644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45644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45644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45644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45644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45644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45644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45644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45644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45644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45644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45644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45644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45644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45644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45644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45644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45644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45644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45644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45644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45644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45644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45644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45644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45644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45644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45644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45644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45644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45644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45644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45644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45644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45644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45644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45644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45644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45644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45644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45644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45644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45644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45644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45644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45644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45644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45644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45644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45644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45644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45644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45644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45644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45644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45644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45644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45644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45644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45644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45644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45644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45644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45644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45644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45644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45644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45644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45644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45644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45644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45644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45644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45644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45644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45644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45644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45644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45644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45644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45644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45644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45644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45644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45644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45644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45644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45644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45644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45644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45644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45644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45644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45644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45644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45644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45644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45644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45644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45644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45644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45644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45644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45644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45644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45644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45644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45644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45644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45644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45644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45644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45644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45644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45644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45644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45644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45644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45644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45644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45644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45644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45644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45644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45644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45644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45644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45644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45644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45644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45644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45644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45644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45644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45644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45644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45644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45644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45644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45644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45644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45644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45644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45644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45644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45644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45644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45644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45644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45644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45644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45644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45644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45644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45644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45644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45644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45644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45644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45644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45644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45644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45644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45644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45644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45644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45644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45644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45644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45644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45644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45644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45644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45644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45644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45644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45644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45644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45644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45644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45644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45644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45644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45644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45644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45644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45644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45644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45644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45644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45644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45644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45644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45644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45644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45644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45644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45644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45644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45644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45644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45644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45644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45644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45644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45644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45644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45644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45644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45644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45644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45644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45644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45644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45644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45644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45644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45644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45644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45644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45644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45644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45644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45644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45644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45644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45644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45644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45644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45644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45644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45644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45644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45644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45644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45644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45644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45644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45644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45644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45644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45644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45644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45644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45644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45644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45644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45644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45644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45644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45644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45644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45644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45644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45644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45644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45644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45644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45644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45644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45644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45644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45644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45644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45644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45644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45644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45644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45644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45644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45644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45644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45644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45644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45644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45644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45644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45644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45644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45644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45644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45644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45644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45644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45644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45644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45644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45644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45644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45644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45644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45644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45644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45644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45644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45644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45644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45644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45644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45644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45644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45644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45644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45644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45644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45644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45644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45644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45644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45644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45644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45644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45644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45644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45644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45644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45644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45644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45644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45644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45644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45644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45644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45644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45644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45644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45644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45644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45644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45644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45644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45644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45644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45644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45644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45644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45644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45644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45644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45644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45644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45644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45644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45644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45644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45644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45644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45644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45644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45644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45644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45644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45644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45644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45644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45644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45644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45644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45644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45644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45644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45644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45644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45644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45644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45644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45644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45644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45644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45644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45644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45644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45644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45644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45644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45644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45644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45644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45644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45644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45644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45644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45644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45644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45644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45644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45644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45644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45644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45644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45644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45644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45644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45644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45644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45644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45644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45644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45644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45644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45644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45644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45644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45644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45644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45644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45644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45644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45644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45644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45644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45644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45644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45644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45644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45644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45644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45644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45644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45644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45644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45644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45644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45644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45644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45644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45644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45644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45644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45644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45644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45644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45644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45644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45644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45644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45644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45644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45644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45644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45644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45644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45644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45644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45644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45644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45644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45644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45644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45644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45644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45644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45644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45644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45644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45644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45644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45644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45644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45644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45644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45644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45644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45644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45644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45644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45644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45644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45644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45644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45644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45644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45644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45644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45644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45644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45644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45644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45644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45644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45644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45644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45644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45644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45644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45644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45644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45644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45644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45644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45644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45644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45644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45644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45644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45644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45644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45644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45644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45644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45644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45644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45644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45644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45644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45644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45644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45644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45644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45644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45644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45644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45644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45644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45644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45644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45644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45644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45644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45644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45644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45644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45644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45644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45644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45644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45644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45644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45644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45644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45644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45644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57591-2024</t>
        </is>
      </c>
      <c r="B690" s="1" t="n">
        <v>45630</v>
      </c>
      <c r="C690" s="1" t="n">
        <v>45644</v>
      </c>
      <c r="D690" t="inlineStr">
        <is>
          <t>HALLANDS LÄN</t>
        </is>
      </c>
      <c r="E690" t="inlineStr">
        <is>
          <t>VARBERG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57700-2024</t>
        </is>
      </c>
      <c r="B691" s="1" t="n">
        <v>45630</v>
      </c>
      <c r="C691" s="1" t="n">
        <v>45644</v>
      </c>
      <c r="D691" t="inlineStr">
        <is>
          <t>HALLANDS LÄN</t>
        </is>
      </c>
      <c r="E691" t="inlineStr">
        <is>
          <t>VARBERG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45644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59339-2024</t>
        </is>
      </c>
      <c r="B693" s="1" t="n">
        <v>45637</v>
      </c>
      <c r="C693" s="1" t="n">
        <v>45644</v>
      </c>
      <c r="D693" t="inlineStr">
        <is>
          <t>HALLANDS LÄN</t>
        </is>
      </c>
      <c r="E693" t="inlineStr">
        <is>
          <t>VARBERG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59342-2024</t>
        </is>
      </c>
      <c r="B694" s="1" t="n">
        <v>45637</v>
      </c>
      <c r="C694" s="1" t="n">
        <v>45644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45644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45644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45644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59981-2024</t>
        </is>
      </c>
      <c r="B698" s="1" t="n">
        <v>45642</v>
      </c>
      <c r="C698" s="1" t="n">
        <v>45644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2024-12-18T15:51:16Z</dcterms:created>
  <dcterms:modified xmlns:dcterms="http://purl.org/dc/terms/" xmlns:xsi="http://www.w3.org/2001/XMLSchema-instance" xsi:type="dcterms:W3CDTF">2024-12-18T15:51:16Z</dcterms:modified>
</cp:coreProperties>
</file>