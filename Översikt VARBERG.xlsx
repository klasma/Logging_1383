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43379-2022</t>
        </is>
      </c>
      <c r="B2" t="inlineStr">
        <is>
          <t>avverkningsanmälan</t>
        </is>
      </c>
      <c r="C2" t="inlineStr">
        <is>
          <t>Avverkning för annat ändamål</t>
        </is>
      </c>
      <c r="D2" s="1" t="n">
        <v>44834</v>
      </c>
      <c r="E2" s="1" t="n">
        <v>46322</v>
      </c>
      <c r="F2" t="inlineStr">
        <is>
          <t>HALLANDS LÄN</t>
        </is>
      </c>
      <c r="G2" t="inlineStr">
        <is>
          <t>VARBERG</t>
        </is>
      </c>
      <c r="I2" t="n">
        <v>0.9</v>
      </c>
      <c r="J2" t="n">
        <v>7</v>
      </c>
      <c r="K2" t="n">
        <v>0</v>
      </c>
      <c r="L2" t="n">
        <v>2</v>
      </c>
      <c r="M2" t="n">
        <v>3</v>
      </c>
      <c r="N2" t="n">
        <v>1</v>
      </c>
      <c r="O2" t="n">
        <v>0</v>
      </c>
      <c r="P2" t="n">
        <v>0</v>
      </c>
      <c r="Q2" t="n">
        <v>6</v>
      </c>
      <c r="R2" t="n">
        <v>4</v>
      </c>
      <c r="S2" t="n">
        <v>9</v>
      </c>
      <c r="T2" t="n">
        <v>14</v>
      </c>
      <c r="U2" t="n">
        <v>14</v>
      </c>
      <c r="V2" s="2" t="inlineStr">
        <is>
          <t>Ask
Grönfink
Igelkott
Stare
Duvhök
Gulsparv
Gröngöling
Kopparödla
Vanlig snok</t>
        </is>
      </c>
      <c r="W2">
        <f>HYPERLINK("https://klasma.github.io/Logging_1383/artfynd/A 43379-2022 artfynd.xlsx", "A 43379-2022")</f>
        <v/>
      </c>
      <c r="X2">
        <f>HYPERLINK("https://klasma.github.io/Logging_1383/kartor/A 43379-2022 karta.png", "A 43379-2022")</f>
        <v/>
      </c>
      <c r="Y2">
        <f>HYPERLINK("https://klasma.github.io/Logging_1383/kartor_geotiff/A 43379-2022 georefererad karta.tif", "A 43379-2022")</f>
        <v/>
      </c>
      <c r="AA2">
        <f>HYPERLINK("https://klasma.github.io/Logging_1383/klagomål/A 43379-2022 FSC-klagomål.docx", "A 43379-2022")</f>
        <v/>
      </c>
      <c r="AB2">
        <f>HYPERLINK("https://klasma.github.io/Logging_1383/klagomålsmail/A 43379-2022 FSC-klagomål mail.docx", "A 43379-2022")</f>
        <v/>
      </c>
      <c r="AC2">
        <f>HYPERLINK("https://klasma.github.io/Logging_1383/tillsyn/A 43379-2022 tillsynsbegäran.docx", "A 43379-2022")</f>
        <v/>
      </c>
      <c r="AD2">
        <f>HYPERLINK("https://klasma.github.io/Logging_1383/tillsynsmail/A 43379-2022 tillsynsbegäran mail.docx", "A 43379-2022")</f>
        <v/>
      </c>
      <c r="AE2">
        <f>HYPERLINK("https://klasma.github.io/Logging_1383/fåglar/A 43379-2022 prioriterade fågelarter.docx", "A 43379-2022")</f>
        <v/>
      </c>
    </row>
    <row r="3" ht="15" customHeight="1">
      <c r="A3" t="inlineStr">
        <is>
          <t>A 4776-2025</t>
        </is>
      </c>
      <c r="B3" t="inlineStr">
        <is>
          <t>avverkningsanmälan</t>
        </is>
      </c>
      <c r="C3" t="inlineStr">
        <is>
          <t>Avverkning för annat ändamål</t>
        </is>
      </c>
      <c r="D3" s="1" t="n">
        <v>45688</v>
      </c>
      <c r="E3" s="1" t="n">
        <v>46322</v>
      </c>
      <c r="F3" t="inlineStr">
        <is>
          <t>HALLANDS LÄN</t>
        </is>
      </c>
      <c r="G3" t="inlineStr">
        <is>
          <t>VARBERG</t>
        </is>
      </c>
      <c r="I3" t="n">
        <v>18</v>
      </c>
      <c r="J3" t="n">
        <v>2</v>
      </c>
      <c r="K3" t="n">
        <v>0</v>
      </c>
      <c r="L3" t="n">
        <v>4</v>
      </c>
      <c r="M3" t="n">
        <v>1</v>
      </c>
      <c r="N3" t="n">
        <v>2</v>
      </c>
      <c r="O3" t="n">
        <v>0</v>
      </c>
      <c r="P3" t="n">
        <v>0</v>
      </c>
      <c r="Q3" t="n">
        <v>7</v>
      </c>
      <c r="R3" t="n">
        <v>3</v>
      </c>
      <c r="S3" t="n">
        <v>9</v>
      </c>
      <c r="T3" t="n">
        <v>21</v>
      </c>
      <c r="U3" t="n">
        <v>1</v>
      </c>
      <c r="V3" s="2" t="inlineStr">
        <is>
          <t>Ask
Skogsalm
Dvärglin
Kavelhirs
Mjukdån
Vitfläckig guldvinge
Åkerkulla
Spillkråka
Hasselmus</t>
        </is>
      </c>
      <c r="W3">
        <f>HYPERLINK("https://klasma.github.io/Logging_1383/artfynd/A 4776-2025 artfynd.xlsx", "A 4776-2025")</f>
        <v/>
      </c>
      <c r="X3">
        <f>HYPERLINK("https://klasma.github.io/Logging_1383/kartor/A 4776-2025 karta.png", "A 4776-2025")</f>
        <v/>
      </c>
      <c r="Y3">
        <f>HYPERLINK("https://klasma.github.io/Logging_1383/kartor_geotiff/A 4776-2025 georefererad karta.tif", "A 4776-2025")</f>
        <v/>
      </c>
      <c r="AA3">
        <f>HYPERLINK("https://klasma.github.io/Logging_1383/klagomål/A 4776-2025 FSC-klagomål.docx", "A 4776-2025")</f>
        <v/>
      </c>
      <c r="AB3">
        <f>HYPERLINK("https://klasma.github.io/Logging_1383/klagomålsmail/A 4776-2025 FSC-klagomål mail.docx", "A 4776-2025")</f>
        <v/>
      </c>
      <c r="AC3">
        <f>HYPERLINK("https://klasma.github.io/Logging_1383/tillsyn/A 4776-2025 tillsynsbegäran.docx", "A 4776-2025")</f>
        <v/>
      </c>
      <c r="AD3">
        <f>HYPERLINK("https://klasma.github.io/Logging_1383/tillsynsmail/A 4776-2025 tillsynsbegäran mail.docx", "A 4776-2025")</f>
        <v/>
      </c>
      <c r="AE3">
        <f>HYPERLINK("https://klasma.github.io/Logging_1383/fåglar/A 4776-2025 prioriterade fågelarter.docx", "A 4776-2025")</f>
        <v/>
      </c>
    </row>
    <row r="4" ht="15" customHeight="1">
      <c r="A4" t="inlineStr">
        <is>
          <t>A 27105-2026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46188</v>
      </c>
      <c r="E4" s="1" t="n">
        <v>46322</v>
      </c>
      <c r="F4" t="inlineStr">
        <is>
          <t>HALLANDS LÄN</t>
        </is>
      </c>
      <c r="G4" t="inlineStr">
        <is>
          <t>VARBERG</t>
        </is>
      </c>
      <c r="I4" t="n">
        <v>0.7</v>
      </c>
      <c r="J4" t="n">
        <v>4</v>
      </c>
      <c r="K4" t="n">
        <v>1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5</v>
      </c>
      <c r="T4" t="n">
        <v>5</v>
      </c>
      <c r="U4" t="n">
        <v>0</v>
      </c>
      <c r="V4" s="2" t="inlineStr">
        <is>
          <t>Bläsand
Kricka
Större aspvedbock
Gröngöling
Kungsfågel</t>
        </is>
      </c>
      <c r="W4">
        <f>HYPERLINK("https://klasma.github.io/Logging_1383/artfynd/A 27105-2026 artfynd.xlsx", "A 27105-2026")</f>
        <v/>
      </c>
      <c r="X4">
        <f>HYPERLINK("https://klasma.github.io/Logging_1383/kartor/A 27105-2026 karta.png", "A 27105-2026")</f>
        <v/>
      </c>
      <c r="Y4">
        <f>HYPERLINK("https://klasma.github.io/Logging_1383/kartor_geotiff/A 27105-2026 georefererad karta.tif", "A 27105-2026")</f>
        <v/>
      </c>
      <c r="AA4">
        <f>HYPERLINK("https://klasma.github.io/Logging_1383/klagomål/A 27105-2026 FSC-klagomål.docx", "A 27105-2026")</f>
        <v/>
      </c>
      <c r="AB4">
        <f>HYPERLINK("https://klasma.github.io/Logging_1383/klagomålsmail/A 27105-2026 FSC-klagomål mail.docx", "A 27105-2026")</f>
        <v/>
      </c>
      <c r="AC4">
        <f>HYPERLINK("https://klasma.github.io/Logging_1383/tillsyn/A 27105-2026 tillsynsbegäran.docx", "A 27105-2026")</f>
        <v/>
      </c>
      <c r="AD4">
        <f>HYPERLINK("https://klasma.github.io/Logging_1383/tillsynsmail/A 27105-2026 tillsynsbegäran mail.docx", "A 27105-2026")</f>
        <v/>
      </c>
      <c r="AE4">
        <f>HYPERLINK("https://klasma.github.io/Logging_1383/fåglar/A 27105-2026 prioriterade fågelarter.docx", "A 27105-2026")</f>
        <v/>
      </c>
    </row>
    <row r="5" ht="15" customHeight="1">
      <c r="A5" t="inlineStr">
        <is>
          <t>A 4779-2025</t>
        </is>
      </c>
      <c r="B5" t="inlineStr">
        <is>
          <t>avverkningsanmälan</t>
        </is>
      </c>
      <c r="C5" t="inlineStr">
        <is>
          <t>Avverkning för annat ändamål</t>
        </is>
      </c>
      <c r="D5" s="1" t="n">
        <v>45688</v>
      </c>
      <c r="E5" s="1" t="n">
        <v>46322</v>
      </c>
      <c r="F5" t="inlineStr">
        <is>
          <t>HALLANDS LÄN</t>
        </is>
      </c>
      <c r="G5" t="inlineStr">
        <is>
          <t>VARBERG</t>
        </is>
      </c>
      <c r="I5" t="n">
        <v>10.3</v>
      </c>
      <c r="J5" t="n">
        <v>3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2</v>
      </c>
      <c r="R5" t="n">
        <v>1</v>
      </c>
      <c r="S5" t="n">
        <v>5</v>
      </c>
      <c r="T5" t="n">
        <v>22</v>
      </c>
      <c r="U5" t="n">
        <v>1</v>
      </c>
      <c r="V5" s="2" t="inlineStr">
        <is>
          <t>Ask
Mjukdån
Spillkråka
Hasselmus
Skogsödla</t>
        </is>
      </c>
      <c r="W5">
        <f>HYPERLINK("https://klasma.github.io/Logging_1383/artfynd/A 4779-2025 artfynd.xlsx", "A 4779-2025")</f>
        <v/>
      </c>
      <c r="X5">
        <f>HYPERLINK("https://klasma.github.io/Logging_1383/kartor/A 4779-2025 karta.png", "A 4779-2025")</f>
        <v/>
      </c>
      <c r="Y5">
        <f>HYPERLINK("https://klasma.github.io/Logging_1383/kartor_geotiff/A 4779-2025 georefererad karta.tif", "A 4779-2025")</f>
        <v/>
      </c>
      <c r="AA5">
        <f>HYPERLINK("https://klasma.github.io/Logging_1383/klagomål/A 4779-2025 FSC-klagomål.docx", "A 4779-2025")</f>
        <v/>
      </c>
      <c r="AB5">
        <f>HYPERLINK("https://klasma.github.io/Logging_1383/klagomålsmail/A 4779-2025 FSC-klagomål mail.docx", "A 4779-2025")</f>
        <v/>
      </c>
      <c r="AC5">
        <f>HYPERLINK("https://klasma.github.io/Logging_1383/tillsyn/A 4779-2025 tillsynsbegäran.docx", "A 4779-2025")</f>
        <v/>
      </c>
      <c r="AD5">
        <f>HYPERLINK("https://klasma.github.io/Logging_1383/tillsynsmail/A 4779-2025 tillsynsbegäran mail.docx", "A 4779-2025")</f>
        <v/>
      </c>
      <c r="AE5">
        <f>HYPERLINK("https://klasma.github.io/Logging_1383/fåglar/A 4779-2025 prioriterade fågelarter.docx", "A 4779-2025")</f>
        <v/>
      </c>
    </row>
    <row r="6" ht="15" customHeight="1">
      <c r="A6" t="inlineStr">
        <is>
          <t>A 43362-2022</t>
        </is>
      </c>
      <c r="B6" t="inlineStr">
        <is>
          <t>avverkningsanmälan</t>
        </is>
      </c>
      <c r="C6" t="inlineStr">
        <is>
          <t>Avverkning för annat ändamål</t>
        </is>
      </c>
      <c r="D6" s="1" t="n">
        <v>44834</v>
      </c>
      <c r="E6" s="1" t="n">
        <v>46322</v>
      </c>
      <c r="F6" t="inlineStr">
        <is>
          <t>HALLANDS LÄN</t>
        </is>
      </c>
      <c r="G6" t="inlineStr">
        <is>
          <t>VARBERG</t>
        </is>
      </c>
      <c r="I6" t="n">
        <v>2.9</v>
      </c>
      <c r="J6" t="n">
        <v>4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4</v>
      </c>
      <c r="T6" t="n">
        <v>5</v>
      </c>
      <c r="U6" t="n">
        <v>5</v>
      </c>
      <c r="V6" s="2" t="inlineStr">
        <is>
          <t>Nordfladdermus
Dvärgpipistrell
Havsörn
Trana</t>
        </is>
      </c>
      <c r="W6">
        <f>HYPERLINK("https://klasma.github.io/Logging_1383/artfynd/A 43362-2022 artfynd.xlsx", "A 43362-2022")</f>
        <v/>
      </c>
      <c r="X6">
        <f>HYPERLINK("https://klasma.github.io/Logging_1383/kartor/A 43362-2022 karta.png", "A 43362-2022")</f>
        <v/>
      </c>
      <c r="Y6">
        <f>HYPERLINK("https://klasma.github.io/Logging_1383/kartor_geotiff/A 43362-2022 georefererad karta.tif", "A 43362-2022")</f>
        <v/>
      </c>
      <c r="AA6">
        <f>HYPERLINK("https://klasma.github.io/Logging_1383/klagomål/A 43362-2022 FSC-klagomål.docx", "A 43362-2022")</f>
        <v/>
      </c>
      <c r="AB6">
        <f>HYPERLINK("https://klasma.github.io/Logging_1383/klagomålsmail/A 43362-2022 FSC-klagomål mail.docx", "A 43362-2022")</f>
        <v/>
      </c>
      <c r="AC6">
        <f>HYPERLINK("https://klasma.github.io/Logging_1383/tillsyn/A 43362-2022 tillsynsbegäran.docx", "A 43362-2022")</f>
        <v/>
      </c>
      <c r="AD6">
        <f>HYPERLINK("https://klasma.github.io/Logging_1383/tillsynsmail/A 43362-2022 tillsynsbegäran mail.docx", "A 43362-2022")</f>
        <v/>
      </c>
      <c r="AE6">
        <f>HYPERLINK("https://klasma.github.io/Logging_1383/fåglar/A 43362-2022 prioriterade fågelarter.docx", "A 43362-2022")</f>
        <v/>
      </c>
    </row>
    <row r="7" ht="15" customHeight="1">
      <c r="A7" t="inlineStr">
        <is>
          <t>A 43356-2022</t>
        </is>
      </c>
      <c r="B7" t="inlineStr">
        <is>
          <t>avverkningsanmälan</t>
        </is>
      </c>
      <c r="C7" t="inlineStr">
        <is>
          <t>Avverkning för annat ändamål</t>
        </is>
      </c>
      <c r="D7" s="1" t="n">
        <v>44834</v>
      </c>
      <c r="E7" s="1" t="n">
        <v>46322</v>
      </c>
      <c r="F7" t="inlineStr">
        <is>
          <t>HALLANDS LÄN</t>
        </is>
      </c>
      <c r="G7" t="inlineStr">
        <is>
          <t>VARBERG</t>
        </is>
      </c>
      <c r="I7" t="n">
        <v>0.4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4</v>
      </c>
      <c r="T7" t="n">
        <v>4</v>
      </c>
      <c r="U7" t="n">
        <v>4</v>
      </c>
      <c r="V7" s="2" t="inlineStr">
        <is>
          <t>Grönfink
Dvärgpipistrell
Havsörn
Trana</t>
        </is>
      </c>
      <c r="W7">
        <f>HYPERLINK("https://klasma.github.io/Logging_1383/artfynd/A 43356-2022 artfynd.xlsx", "A 43356-2022")</f>
        <v/>
      </c>
      <c r="X7">
        <f>HYPERLINK("https://klasma.github.io/Logging_1383/kartor/A 43356-2022 karta.png", "A 43356-2022")</f>
        <v/>
      </c>
      <c r="Y7">
        <f>HYPERLINK("https://klasma.github.io/Logging_1383/kartor_geotiff/A 43356-2022 georefererad karta.tif", "A 43356-2022")</f>
        <v/>
      </c>
      <c r="AA7">
        <f>HYPERLINK("https://klasma.github.io/Logging_1383/klagomål/A 43356-2022 FSC-klagomål.docx", "A 43356-2022")</f>
        <v/>
      </c>
      <c r="AB7">
        <f>HYPERLINK("https://klasma.github.io/Logging_1383/klagomålsmail/A 43356-2022 FSC-klagomål mail.docx", "A 43356-2022")</f>
        <v/>
      </c>
      <c r="AC7">
        <f>HYPERLINK("https://klasma.github.io/Logging_1383/tillsyn/A 43356-2022 tillsynsbegäran.docx", "A 43356-2022")</f>
        <v/>
      </c>
      <c r="AD7">
        <f>HYPERLINK("https://klasma.github.io/Logging_1383/tillsynsmail/A 43356-2022 tillsynsbegäran mail.docx", "A 43356-2022")</f>
        <v/>
      </c>
      <c r="AE7">
        <f>HYPERLINK("https://klasma.github.io/Logging_1383/fåglar/A 43356-2022 prioriterade fågelarter.docx", "A 43356-2022")</f>
        <v/>
      </c>
    </row>
    <row r="8" ht="15" customHeight="1">
      <c r="A8" t="inlineStr">
        <is>
          <t>A 7132-2026</t>
        </is>
      </c>
      <c r="B8" t="inlineStr">
        <is>
          <t>avverkningsanmälan</t>
        </is>
      </c>
      <c r="C8" t="inlineStr">
        <is>
          <t>Avverkning för annat ändamål</t>
        </is>
      </c>
      <c r="D8" s="1" t="n">
        <v>46058</v>
      </c>
      <c r="E8" s="1" t="n">
        <v>46322</v>
      </c>
      <c r="F8" t="inlineStr">
        <is>
          <t>HALLANDS LÄN</t>
        </is>
      </c>
      <c r="G8" t="inlineStr">
        <is>
          <t>VARBERG</t>
        </is>
      </c>
      <c r="I8" t="n">
        <v>2.2</v>
      </c>
      <c r="J8" t="n">
        <v>1</v>
      </c>
      <c r="K8" t="n">
        <v>2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3</v>
      </c>
      <c r="T8" t="n">
        <v>7</v>
      </c>
      <c r="U8" t="n">
        <v>0</v>
      </c>
      <c r="V8" s="2" t="inlineStr">
        <is>
          <t>Flytsvalting
Blåmossa
Mörk husmossa</t>
        </is>
      </c>
      <c r="W8">
        <f>HYPERLINK("https://klasma.github.io/Logging_1383/artfynd/A 7132-2026 artfynd.xlsx", "A 7132-2026")</f>
        <v/>
      </c>
      <c r="X8">
        <f>HYPERLINK("https://klasma.github.io/Logging_1383/kartor/A 7132-2026 karta.png", "A 7132-2026")</f>
        <v/>
      </c>
      <c r="Y8">
        <f>HYPERLINK("https://klasma.github.io/Logging_1383/kartor_geotiff/A 7132-2026 georefererad karta.tif", "A 7132-2026")</f>
        <v/>
      </c>
      <c r="AA8">
        <f>HYPERLINK("https://klasma.github.io/Logging_1383/klagomål/A 7132-2026 FSC-klagomål.docx", "A 7132-2026")</f>
        <v/>
      </c>
      <c r="AB8">
        <f>HYPERLINK("https://klasma.github.io/Logging_1383/klagomålsmail/A 7132-2026 FSC-klagomål mail.docx", "A 7132-2026")</f>
        <v/>
      </c>
      <c r="AC8">
        <f>HYPERLINK("https://klasma.github.io/Logging_1383/tillsyn/A 7132-2026 tillsynsbegäran.docx", "A 7132-2026")</f>
        <v/>
      </c>
      <c r="AD8">
        <f>HYPERLINK("https://klasma.github.io/Logging_1383/tillsynsmail/A 7132-2026 tillsynsbegäran mail.docx", "A 7132-2026")</f>
        <v/>
      </c>
    </row>
    <row r="9" ht="15" customHeight="1">
      <c r="A9" t="inlineStr">
        <is>
          <t>A 30573-2022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44762</v>
      </c>
      <c r="E9" s="1" t="n">
        <v>46322</v>
      </c>
      <c r="F9" t="inlineStr">
        <is>
          <t>HALLANDS LÄN</t>
        </is>
      </c>
      <c r="G9" t="inlineStr">
        <is>
          <t>VARBERG</t>
        </is>
      </c>
      <c r="I9" t="n">
        <v>4.2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2</v>
      </c>
      <c r="U9" t="n">
        <v>0</v>
      </c>
      <c r="V9" s="2" t="inlineStr">
        <is>
          <t>Dvärghäxört
Kambräken</t>
        </is>
      </c>
      <c r="W9">
        <f>HYPERLINK("https://klasma.github.io/Logging_1383/artfynd/A 30573-2022 artfynd.xlsx", "A 30573-2022")</f>
        <v/>
      </c>
      <c r="X9">
        <f>HYPERLINK("https://klasma.github.io/Logging_1383/kartor/A 30573-2022 karta.png", "A 30573-2022")</f>
        <v/>
      </c>
      <c r="Y9">
        <f>HYPERLINK("https://klasma.github.io/Logging_1383/kartor_geotiff/A 30573-2022 georefererad karta.tif", "A 30573-2022")</f>
        <v/>
      </c>
      <c r="AA9">
        <f>HYPERLINK("https://klasma.github.io/Logging_1383/klagomål/A 30573-2022 FSC-klagomål.docx", "A 30573-2022")</f>
        <v/>
      </c>
      <c r="AB9">
        <f>HYPERLINK("https://klasma.github.io/Logging_1383/klagomålsmail/A 30573-2022 FSC-klagomål mail.docx", "A 30573-2022")</f>
        <v/>
      </c>
      <c r="AC9">
        <f>HYPERLINK("https://klasma.github.io/Logging_1383/tillsyn/A 30573-2022 tillsynsbegäran.docx", "A 30573-2022")</f>
        <v/>
      </c>
      <c r="AD9">
        <f>HYPERLINK("https://klasma.github.io/Logging_1383/tillsynsmail/A 30573-2022 tillsynsbegäran mail.docx", "A 30573-2022")</f>
        <v/>
      </c>
    </row>
    <row r="10" ht="15" customHeight="1">
      <c r="A10" t="inlineStr">
        <is>
          <t>A 31030-2022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44768</v>
      </c>
      <c r="E10" s="1" t="n">
        <v>46322</v>
      </c>
      <c r="F10" t="inlineStr">
        <is>
          <t>HALLANDS LÄN</t>
        </is>
      </c>
      <c r="G10" t="inlineStr">
        <is>
          <t>VARBERG</t>
        </is>
      </c>
      <c r="I10" t="n">
        <v>2.4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2</v>
      </c>
      <c r="U10" t="n">
        <v>0</v>
      </c>
      <c r="V10" s="2" t="inlineStr">
        <is>
          <t>Blomkålssvamp
Grovticka</t>
        </is>
      </c>
      <c r="W10">
        <f>HYPERLINK("https://klasma.github.io/Logging_1383/artfynd/A 31030-2022 artfynd.xlsx", "A 31030-2022")</f>
        <v/>
      </c>
      <c r="X10">
        <f>HYPERLINK("https://klasma.github.io/Logging_1383/kartor/A 31030-2022 karta.png", "A 31030-2022")</f>
        <v/>
      </c>
      <c r="Y10">
        <f>HYPERLINK("https://klasma.github.io/Logging_1383/kartor_geotiff/A 31030-2022 georefererad karta.tif", "A 31030-2022")</f>
        <v/>
      </c>
      <c r="AA10">
        <f>HYPERLINK("https://klasma.github.io/Logging_1383/klagomål/A 31030-2022 FSC-klagomål.docx", "A 31030-2022")</f>
        <v/>
      </c>
      <c r="AB10">
        <f>HYPERLINK("https://klasma.github.io/Logging_1383/klagomålsmail/A 31030-2022 FSC-klagomål mail.docx", "A 31030-2022")</f>
        <v/>
      </c>
      <c r="AC10">
        <f>HYPERLINK("https://klasma.github.io/Logging_1383/tillsyn/A 31030-2022 tillsynsbegäran.docx", "A 31030-2022")</f>
        <v/>
      </c>
      <c r="AD10">
        <f>HYPERLINK("https://klasma.github.io/Logging_1383/tillsynsmail/A 31030-2022 tillsynsbegäran mail.docx", "A 31030-2022")</f>
        <v/>
      </c>
    </row>
    <row r="11" ht="15" customHeight="1">
      <c r="A11" t="inlineStr">
        <is>
          <t>A 13093-2025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45734</v>
      </c>
      <c r="E11" s="1" t="n">
        <v>46322</v>
      </c>
      <c r="F11" t="inlineStr">
        <is>
          <t>HALLANDS LÄN</t>
        </is>
      </c>
      <c r="G11" t="inlineStr">
        <is>
          <t>VARBERG</t>
        </is>
      </c>
      <c r="H11" t="inlineStr">
        <is>
          <t>Kyrkan</t>
        </is>
      </c>
      <c r="I11" t="n">
        <v>1.8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2</v>
      </c>
      <c r="U11" t="n">
        <v>0</v>
      </c>
      <c r="V11" s="2" t="inlineStr">
        <is>
          <t>Stor revmossa
Spillkråka</t>
        </is>
      </c>
      <c r="W11">
        <f>HYPERLINK("https://klasma.github.io/Logging_1383/artfynd/A 13093-2025 artfynd.xlsx", "A 13093-2025")</f>
        <v/>
      </c>
      <c r="X11">
        <f>HYPERLINK("https://klasma.github.io/Logging_1383/kartor/A 13093-2025 karta.png", "A 13093-2025")</f>
        <v/>
      </c>
      <c r="Y11">
        <f>HYPERLINK("https://klasma.github.io/Logging_1383/kartor_geotiff/A 13093-2025 georefererad karta.tif", "A 13093-2025")</f>
        <v/>
      </c>
      <c r="AA11">
        <f>HYPERLINK("https://klasma.github.io/Logging_1383/klagomål/A 13093-2025 FSC-klagomål.docx", "A 13093-2025")</f>
        <v/>
      </c>
      <c r="AB11">
        <f>HYPERLINK("https://klasma.github.io/Logging_1383/klagomålsmail/A 13093-2025 FSC-klagomål mail.docx", "A 13093-2025")</f>
        <v/>
      </c>
      <c r="AC11">
        <f>HYPERLINK("https://klasma.github.io/Logging_1383/tillsyn/A 13093-2025 tillsynsbegäran.docx", "A 13093-2025")</f>
        <v/>
      </c>
      <c r="AD11">
        <f>HYPERLINK("https://klasma.github.io/Logging_1383/tillsynsmail/A 13093-2025 tillsynsbegäran mail.docx", "A 13093-2025")</f>
        <v/>
      </c>
      <c r="AE11">
        <f>HYPERLINK("https://klasma.github.io/Logging_1383/fåglar/A 13093-2025 prioriterade fågelarter.docx", "A 13093-2025")</f>
        <v/>
      </c>
    </row>
    <row r="12" ht="15" customHeight="1">
      <c r="A12" t="inlineStr">
        <is>
          <t>A 27474-2023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45093</v>
      </c>
      <c r="E12" s="1" t="n">
        <v>46322</v>
      </c>
      <c r="F12" t="inlineStr">
        <is>
          <t>HALLANDS LÄN</t>
        </is>
      </c>
      <c r="G12" t="inlineStr">
        <is>
          <t>VARBERG</t>
        </is>
      </c>
      <c r="I12" t="n">
        <v>3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2</v>
      </c>
      <c r="U12" t="n">
        <v>2</v>
      </c>
      <c r="V12" s="2" t="inlineStr">
        <is>
          <t>Björksplintborre
Jättesvampmal</t>
        </is>
      </c>
      <c r="W12">
        <f>HYPERLINK("https://klasma.github.io/Logging_1383/artfynd/A 27474-2023 artfynd.xlsx", "A 27474-2023")</f>
        <v/>
      </c>
      <c r="X12">
        <f>HYPERLINK("https://klasma.github.io/Logging_1383/kartor/A 27474-2023 karta.png", "A 27474-2023")</f>
        <v/>
      </c>
      <c r="Y12">
        <f>HYPERLINK("https://klasma.github.io/Logging_1383/kartor_geotiff/A 27474-2023 georefererad karta.tif", "A 27474-2023")</f>
        <v/>
      </c>
      <c r="AA12">
        <f>HYPERLINK("https://klasma.github.io/Logging_1383/klagomål/A 27474-2023 FSC-klagomål.docx", "A 27474-2023")</f>
        <v/>
      </c>
      <c r="AB12">
        <f>HYPERLINK("https://klasma.github.io/Logging_1383/klagomålsmail/A 27474-2023 FSC-klagomål mail.docx", "A 27474-2023")</f>
        <v/>
      </c>
      <c r="AC12">
        <f>HYPERLINK("https://klasma.github.io/Logging_1383/tillsyn/A 27474-2023 tillsynsbegäran.docx", "A 27474-2023")</f>
        <v/>
      </c>
      <c r="AD12">
        <f>HYPERLINK("https://klasma.github.io/Logging_1383/tillsynsmail/A 27474-2023 tillsynsbegäran mail.docx", "A 27474-2023")</f>
        <v/>
      </c>
    </row>
    <row r="13" ht="15" customHeight="1">
      <c r="A13" t="inlineStr">
        <is>
          <t>A 31950-2024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45510</v>
      </c>
      <c r="E13" s="1" t="n">
        <v>46322</v>
      </c>
      <c r="F13" t="inlineStr">
        <is>
          <t>HALLANDS LÄN</t>
        </is>
      </c>
      <c r="G13" t="inlineStr">
        <is>
          <t>VARBERG</t>
        </is>
      </c>
      <c r="I13" t="n">
        <v>0.5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2</v>
      </c>
      <c r="U13" t="n">
        <v>0</v>
      </c>
      <c r="V13" s="2" t="inlineStr">
        <is>
          <t>Slätbjörnbär
Hasselmus</t>
        </is>
      </c>
      <c r="W13">
        <f>HYPERLINK("https://klasma.github.io/Logging_1383/artfynd/A 31950-2024 artfynd.xlsx", "A 31950-2024")</f>
        <v/>
      </c>
      <c r="X13">
        <f>HYPERLINK("https://klasma.github.io/Logging_1383/kartor/A 31950-2024 karta.png", "A 31950-2024")</f>
        <v/>
      </c>
      <c r="Y13">
        <f>HYPERLINK("https://klasma.github.io/Logging_1383/kartor_geotiff/A 31950-2024 georefererad karta.tif", "A 31950-2024")</f>
        <v/>
      </c>
      <c r="AA13">
        <f>HYPERLINK("https://klasma.github.io/Logging_1383/klagomål/A 31950-2024 FSC-klagomål.docx", "A 31950-2024")</f>
        <v/>
      </c>
      <c r="AB13">
        <f>HYPERLINK("https://klasma.github.io/Logging_1383/klagomålsmail/A 31950-2024 FSC-klagomål mail.docx", "A 31950-2024")</f>
        <v/>
      </c>
      <c r="AC13">
        <f>HYPERLINK("https://klasma.github.io/Logging_1383/tillsyn/A 31950-2024 tillsynsbegäran.docx", "A 31950-2024")</f>
        <v/>
      </c>
      <c r="AD13">
        <f>HYPERLINK("https://klasma.github.io/Logging_1383/tillsynsmail/A 31950-2024 tillsynsbegäran mail.docx", "A 31950-2024")</f>
        <v/>
      </c>
    </row>
    <row r="14" ht="15" customHeight="1">
      <c r="A14" t="inlineStr">
        <is>
          <t>A 38112-2026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46281</v>
      </c>
      <c r="E14" s="1" t="n">
        <v>46322</v>
      </c>
      <c r="F14" t="inlineStr">
        <is>
          <t>HALLANDS LÄN</t>
        </is>
      </c>
      <c r="G14" t="inlineStr">
        <is>
          <t>VARBERG</t>
        </is>
      </c>
      <c r="I14" t="n">
        <v>5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2</v>
      </c>
      <c r="U14" t="n">
        <v>0</v>
      </c>
      <c r="V14" s="2" t="inlineStr">
        <is>
          <t>Tjäder
Revlummer</t>
        </is>
      </c>
      <c r="W14">
        <f>HYPERLINK("https://klasma.github.io/Logging_1383/artfynd/A 38112-2026 artfynd.xlsx", "A 38112-2026")</f>
        <v/>
      </c>
      <c r="X14">
        <f>HYPERLINK("https://klasma.github.io/Logging_1383/kartor/A 38112-2026 karta.png", "A 38112-2026")</f>
        <v/>
      </c>
      <c r="Y14">
        <f>HYPERLINK("https://klasma.github.io/Logging_1383/kartor_geotiff/A 38112-2026 georefererad karta.tif", "A 38112-2026")</f>
        <v/>
      </c>
      <c r="AA14">
        <f>HYPERLINK("https://klasma.github.io/Logging_1383/klagomål/A 38112-2026 FSC-klagomål.docx", "A 38112-2026")</f>
        <v/>
      </c>
      <c r="AB14">
        <f>HYPERLINK("https://klasma.github.io/Logging_1383/klagomålsmail/A 38112-2026 FSC-klagomål mail.docx", "A 38112-2026")</f>
        <v/>
      </c>
      <c r="AC14">
        <f>HYPERLINK("https://klasma.github.io/Logging_1383/tillsyn/A 38112-2026 tillsynsbegäran.docx", "A 38112-2026")</f>
        <v/>
      </c>
      <c r="AD14">
        <f>HYPERLINK("https://klasma.github.io/Logging_1383/tillsynsmail/A 38112-2026 tillsynsbegäran mail.docx", "A 38112-2026")</f>
        <v/>
      </c>
      <c r="AE14">
        <f>HYPERLINK("https://klasma.github.io/Logging_1383/fåglar/A 38112-2026 prioriterade fågelarter.docx", "A 38112-2026")</f>
        <v/>
      </c>
    </row>
    <row r="15" ht="15" customHeight="1">
      <c r="A15" t="inlineStr">
        <is>
          <t>A 38079-2026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46281</v>
      </c>
      <c r="E15" s="1" t="n">
        <v>46322</v>
      </c>
      <c r="F15" t="inlineStr">
        <is>
          <t>HALLANDS LÄN</t>
        </is>
      </c>
      <c r="G15" t="inlineStr">
        <is>
          <t>VARBERG</t>
        </is>
      </c>
      <c r="I15" t="n">
        <v>7.4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2</v>
      </c>
      <c r="U15" t="n">
        <v>0</v>
      </c>
      <c r="V15" s="2" t="inlineStr">
        <is>
          <t>Tjäder
Revlummer</t>
        </is>
      </c>
      <c r="W15">
        <f>HYPERLINK("https://klasma.github.io/Logging_1383/artfynd/A 38079-2026 artfynd.xlsx", "A 38079-2026")</f>
        <v/>
      </c>
      <c r="X15">
        <f>HYPERLINK("https://klasma.github.io/Logging_1383/kartor/A 38079-2026 karta.png", "A 38079-2026")</f>
        <v/>
      </c>
      <c r="Y15">
        <f>HYPERLINK("https://klasma.github.io/Logging_1383/kartor_geotiff/A 38079-2026 georefererad karta.tif", "A 38079-2026")</f>
        <v/>
      </c>
      <c r="AA15">
        <f>HYPERLINK("https://klasma.github.io/Logging_1383/klagomål/A 38079-2026 FSC-klagomål.docx", "A 38079-2026")</f>
        <v/>
      </c>
      <c r="AB15">
        <f>HYPERLINK("https://klasma.github.io/Logging_1383/klagomålsmail/A 38079-2026 FSC-klagomål mail.docx", "A 38079-2026")</f>
        <v/>
      </c>
      <c r="AC15">
        <f>HYPERLINK("https://klasma.github.io/Logging_1383/tillsyn/A 38079-2026 tillsynsbegäran.docx", "A 38079-2026")</f>
        <v/>
      </c>
      <c r="AD15">
        <f>HYPERLINK("https://klasma.github.io/Logging_1383/tillsynsmail/A 38079-2026 tillsynsbegäran mail.docx", "A 38079-2026")</f>
        <v/>
      </c>
      <c r="AE15">
        <f>HYPERLINK("https://klasma.github.io/Logging_1383/fåglar/A 38079-2026 prioriterade fågelarter.docx", "A 38079-2026")</f>
        <v/>
      </c>
    </row>
    <row r="16" ht="15" customHeight="1">
      <c r="A16" t="inlineStr">
        <is>
          <t>S 72-2024</t>
        </is>
      </c>
      <c r="B16" t="inlineStr">
        <is>
          <t>samrådsanmälan</t>
        </is>
      </c>
      <c r="C16" t="inlineStr">
        <is>
          <t>Askåterföring</t>
        </is>
      </c>
      <c r="D16" s="1" t="n">
        <v>45300</v>
      </c>
      <c r="E16" s="1" t="n">
        <v>46322</v>
      </c>
      <c r="F16" t="inlineStr">
        <is>
          <t>HALLANDS LÄN</t>
        </is>
      </c>
      <c r="G16" t="inlineStr">
        <is>
          <t>VARBERG</t>
        </is>
      </c>
      <c r="I16" t="n">
        <v>37.2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2</v>
      </c>
      <c r="U16" t="n">
        <v>2</v>
      </c>
      <c r="V16" s="2" t="inlineStr">
        <is>
          <t>Spillkråka
Kungsfågel</t>
        </is>
      </c>
      <c r="W16">
        <f>HYPERLINK("https://klasma.github.io/Logging_1383/artfynd/S 72-2024 artfynd.xlsx", "S 72-2024")</f>
        <v/>
      </c>
      <c r="X16">
        <f>HYPERLINK("https://klasma.github.io/Logging_1383/kartor/S 72-2024 karta.png", "S 72-2024")</f>
        <v/>
      </c>
      <c r="Y16">
        <f>HYPERLINK("https://klasma.github.io/Logging_1383/kartor_geotiff/S 72-2024 georefererad karta.tif", "S 72-2024")</f>
        <v/>
      </c>
      <c r="AA16">
        <f>HYPERLINK("https://klasma.github.io/Logging_1383/klagomål/S 72-2024 FSC-klagomål.docx", "S 72-2024")</f>
        <v/>
      </c>
      <c r="AB16">
        <f>HYPERLINK("https://klasma.github.io/Logging_1383/klagomålsmail/S 72-2024 FSC-klagomål mail.docx", "S 72-2024")</f>
        <v/>
      </c>
      <c r="AC16">
        <f>HYPERLINK("https://klasma.github.io/Logging_1383/tillsyn/S 72-2024 tillsynsbegäran.docx", "S 72-2024")</f>
        <v/>
      </c>
      <c r="AD16">
        <f>HYPERLINK("https://klasma.github.io/Logging_1383/tillsynsmail/S 72-2024 tillsynsbegäran mail.docx", "S 72-2024")</f>
        <v/>
      </c>
      <c r="AE16">
        <f>HYPERLINK("https://klasma.github.io/Logging_1383/fåglar/S 72-2024 prioriterade fågelarter.docx", "S 72-2024")</f>
        <v/>
      </c>
    </row>
    <row r="17" ht="15" customHeight="1">
      <c r="A17" t="inlineStr">
        <is>
          <t>S 142-2026</t>
        </is>
      </c>
      <c r="B17" t="inlineStr">
        <is>
          <t>samrådsanmälan</t>
        </is>
      </c>
      <c r="C17" t="inlineStr">
        <is>
          <t>Askåterföring</t>
        </is>
      </c>
      <c r="D17" s="1" t="n">
        <v>46042</v>
      </c>
      <c r="E17" s="1" t="n">
        <v>46322</v>
      </c>
      <c r="F17" t="inlineStr">
        <is>
          <t>HALLANDS LÄN</t>
        </is>
      </c>
      <c r="G17" t="inlineStr">
        <is>
          <t>VARBERG</t>
        </is>
      </c>
      <c r="I17" t="n">
        <v>81.3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2</v>
      </c>
      <c r="U17" t="n">
        <v>0</v>
      </c>
      <c r="V17" s="2" t="inlineStr">
        <is>
          <t>Talltita
Grönsiska</t>
        </is>
      </c>
      <c r="W17">
        <f>HYPERLINK("https://klasma.github.io/Logging_1383/artfynd/S 142-2026 artfynd.xlsx", "S 142-2026")</f>
        <v/>
      </c>
      <c r="X17">
        <f>HYPERLINK("https://klasma.github.io/Logging_1383/kartor/S 142-2026 karta.png", "S 142-2026")</f>
        <v/>
      </c>
      <c r="Y17">
        <f>HYPERLINK("https://klasma.github.io/Logging_1383/kartor_geotiff/S 142-2026 georefererad karta.tif", "S 142-2026")</f>
        <v/>
      </c>
      <c r="AA17">
        <f>HYPERLINK("https://klasma.github.io/Logging_1383/klagomål/S 142-2026 FSC-klagomål.docx", "S 142-2026")</f>
        <v/>
      </c>
      <c r="AB17">
        <f>HYPERLINK("https://klasma.github.io/Logging_1383/klagomålsmail/S 142-2026 FSC-klagomål mail.docx", "S 142-2026")</f>
        <v/>
      </c>
      <c r="AC17">
        <f>HYPERLINK("https://klasma.github.io/Logging_1383/tillsyn/S 142-2026 tillsynsbegäran.docx", "S 142-2026")</f>
        <v/>
      </c>
      <c r="AD17">
        <f>HYPERLINK("https://klasma.github.io/Logging_1383/tillsynsmail/S 142-2026 tillsynsbegäran mail.docx", "S 142-2026")</f>
        <v/>
      </c>
      <c r="AE17">
        <f>HYPERLINK("https://klasma.github.io/Logging_1383/fåglar/S 142-2026 prioriterade fågelarter.docx", "S 142-2026")</f>
        <v/>
      </c>
    </row>
    <row r="18" ht="15" customHeight="1">
      <c r="A18" t="inlineStr">
        <is>
          <t>A 58679-2023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45251</v>
      </c>
      <c r="E18" s="1" t="n">
        <v>46322</v>
      </c>
      <c r="F18" t="inlineStr">
        <is>
          <t>HALLANDS LÄN</t>
        </is>
      </c>
      <c r="G18" t="inlineStr">
        <is>
          <t>VARBERG</t>
        </is>
      </c>
      <c r="I18" t="n">
        <v>7.8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s="2" t="inlineStr">
        <is>
          <t>Hasselmus</t>
        </is>
      </c>
      <c r="W18">
        <f>HYPERLINK("https://klasma.github.io/Logging_1383/artfynd/A 58679-2023 artfynd.xlsx", "A 58679-2023")</f>
        <v/>
      </c>
      <c r="X18">
        <f>HYPERLINK("https://klasma.github.io/Logging_1383/kartor/A 58679-2023 karta.png", "A 58679-2023")</f>
        <v/>
      </c>
      <c r="Y18">
        <f>HYPERLINK("https://klasma.github.io/Logging_1383/kartor_geotiff/A 58679-2023 georefererad karta.tif", "A 58679-2023")</f>
        <v/>
      </c>
      <c r="AA18">
        <f>HYPERLINK("https://klasma.github.io/Logging_1383/klagomål/A 58679-2023 FSC-klagomål.docx", "A 58679-2023")</f>
        <v/>
      </c>
      <c r="AB18">
        <f>HYPERLINK("https://klasma.github.io/Logging_1383/klagomålsmail/A 58679-2023 FSC-klagomål mail.docx", "A 58679-2023")</f>
        <v/>
      </c>
      <c r="AC18">
        <f>HYPERLINK("https://klasma.github.io/Logging_1383/tillsyn/A 58679-2023 tillsynsbegäran.docx", "A 58679-2023")</f>
        <v/>
      </c>
      <c r="AD18">
        <f>HYPERLINK("https://klasma.github.io/Logging_1383/tillsynsmail/A 58679-2023 tillsynsbegäran mail.docx", "A 58679-2023")</f>
        <v/>
      </c>
    </row>
    <row r="19" ht="15" customHeight="1">
      <c r="A19" t="inlineStr">
        <is>
          <t>A 8906-2025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45713</v>
      </c>
      <c r="E19" s="1" t="n">
        <v>46322</v>
      </c>
      <c r="F19" t="inlineStr">
        <is>
          <t>HALLANDS LÄN</t>
        </is>
      </c>
      <c r="G19" t="inlineStr">
        <is>
          <t>VARBERG</t>
        </is>
      </c>
      <c r="I19" t="n">
        <v>1.5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s="2" t="inlineStr">
        <is>
          <t>Flytsvalting</t>
        </is>
      </c>
      <c r="W19">
        <f>HYPERLINK("https://klasma.github.io/Logging_1383/artfynd/A 8906-2025 artfynd.xlsx", "A 8906-2025")</f>
        <v/>
      </c>
      <c r="X19">
        <f>HYPERLINK("https://klasma.github.io/Logging_1383/kartor/A 8906-2025 karta.png", "A 8906-2025")</f>
        <v/>
      </c>
      <c r="Y19">
        <f>HYPERLINK("https://klasma.github.io/Logging_1383/kartor_geotiff/A 8906-2025 georefererad karta.tif", "A 8906-2025")</f>
        <v/>
      </c>
      <c r="AA19">
        <f>HYPERLINK("https://klasma.github.io/Logging_1383/klagomål/A 8906-2025 FSC-klagomål.docx", "A 8906-2025")</f>
        <v/>
      </c>
      <c r="AB19">
        <f>HYPERLINK("https://klasma.github.io/Logging_1383/klagomålsmail/A 8906-2025 FSC-klagomål mail.docx", "A 8906-2025")</f>
        <v/>
      </c>
      <c r="AC19">
        <f>HYPERLINK("https://klasma.github.io/Logging_1383/tillsyn/A 8906-2025 tillsynsbegäran.docx", "A 8906-2025")</f>
        <v/>
      </c>
      <c r="AD19">
        <f>HYPERLINK("https://klasma.github.io/Logging_1383/tillsynsmail/A 8906-2025 tillsynsbegäran mail.docx", "A 8906-2025")</f>
        <v/>
      </c>
    </row>
    <row r="20" ht="15" customHeight="1">
      <c r="A20" t="inlineStr">
        <is>
          <t>A 42724-2025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45908</v>
      </c>
      <c r="E20" s="1" t="n">
        <v>46322</v>
      </c>
      <c r="F20" t="inlineStr">
        <is>
          <t>HALLANDS LÄN</t>
        </is>
      </c>
      <c r="G20" t="inlineStr">
        <is>
          <t>VARBERG</t>
        </is>
      </c>
      <c r="I20" t="n">
        <v>4.2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3</v>
      </c>
      <c r="U20" t="n">
        <v>0</v>
      </c>
      <c r="V20" s="2" t="inlineStr">
        <is>
          <t>Hasselmus</t>
        </is>
      </c>
      <c r="W20">
        <f>HYPERLINK("https://klasma.github.io/Logging_1383/artfynd/A 42724-2025 artfynd.xlsx", "A 42724-2025")</f>
        <v/>
      </c>
      <c r="X20">
        <f>HYPERLINK("https://klasma.github.io/Logging_1383/kartor/A 42724-2025 karta.png", "A 42724-2025")</f>
        <v/>
      </c>
      <c r="Y20">
        <f>HYPERLINK("https://klasma.github.io/Logging_1383/kartor_geotiff/A 42724-2025 georefererad karta.tif", "A 42724-2025")</f>
        <v/>
      </c>
      <c r="AA20">
        <f>HYPERLINK("https://klasma.github.io/Logging_1383/klagomål/A 42724-2025 FSC-klagomål.docx", "A 42724-2025")</f>
        <v/>
      </c>
      <c r="AB20">
        <f>HYPERLINK("https://klasma.github.io/Logging_1383/klagomålsmail/A 42724-2025 FSC-klagomål mail.docx", "A 42724-2025")</f>
        <v/>
      </c>
      <c r="AC20">
        <f>HYPERLINK("https://klasma.github.io/Logging_1383/tillsyn/A 42724-2025 tillsynsbegäran.docx", "A 42724-2025")</f>
        <v/>
      </c>
      <c r="AD20">
        <f>HYPERLINK("https://klasma.github.io/Logging_1383/tillsynsmail/A 42724-2025 tillsynsbegäran mail.docx", "A 42724-2025")</f>
        <v/>
      </c>
    </row>
    <row r="21" ht="15" customHeight="1">
      <c r="A21" t="inlineStr">
        <is>
          <t>A 27103-2026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46188</v>
      </c>
      <c r="E21" s="1" t="n">
        <v>46322</v>
      </c>
      <c r="F21" t="inlineStr">
        <is>
          <t>HALLANDS LÄN</t>
        </is>
      </c>
      <c r="G21" t="inlineStr">
        <is>
          <t>VARBERG</t>
        </is>
      </c>
      <c r="I21" t="n">
        <v>1.9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s="2" t="inlineStr">
        <is>
          <t>Skogsödla</t>
        </is>
      </c>
      <c r="W21">
        <f>HYPERLINK("https://klasma.github.io/Logging_1383/artfynd/A 27103-2026 artfynd.xlsx", "A 27103-2026")</f>
        <v/>
      </c>
      <c r="X21">
        <f>HYPERLINK("https://klasma.github.io/Logging_1383/kartor/A 27103-2026 karta.png", "A 27103-2026")</f>
        <v/>
      </c>
      <c r="Y21">
        <f>HYPERLINK("https://klasma.github.io/Logging_1383/kartor_geotiff/A 27103-2026 georefererad karta.tif", "A 27103-2026")</f>
        <v/>
      </c>
      <c r="AA21">
        <f>HYPERLINK("https://klasma.github.io/Logging_1383/klagomål/A 27103-2026 FSC-klagomål.docx", "A 27103-2026")</f>
        <v/>
      </c>
      <c r="AB21">
        <f>HYPERLINK("https://klasma.github.io/Logging_1383/klagomålsmail/A 27103-2026 FSC-klagomål mail.docx", "A 27103-2026")</f>
        <v/>
      </c>
      <c r="AC21">
        <f>HYPERLINK("https://klasma.github.io/Logging_1383/tillsyn/A 27103-2026 tillsynsbegäran.docx", "A 27103-2026")</f>
        <v/>
      </c>
      <c r="AD21">
        <f>HYPERLINK("https://klasma.github.io/Logging_1383/tillsynsmail/A 27103-2026 tillsynsbegäran mail.docx", "A 27103-2026")</f>
        <v/>
      </c>
    </row>
    <row r="22" ht="15" customHeight="1">
      <c r="A22" t="inlineStr">
        <is>
          <t>A 61966-2022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44918</v>
      </c>
      <c r="E22" s="1" t="n">
        <v>46322</v>
      </c>
      <c r="F22" t="inlineStr">
        <is>
          <t>HALLANDS LÄN</t>
        </is>
      </c>
      <c r="G22" t="inlineStr">
        <is>
          <t>VARBERG</t>
        </is>
      </c>
      <c r="I22" t="n">
        <v>0.7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s="2" t="inlineStr">
        <is>
          <t>Åkersyska</t>
        </is>
      </c>
      <c r="W22">
        <f>HYPERLINK("https://klasma.github.io/Logging_1383/artfynd/A 61966-2022 artfynd.xlsx", "A 61966-2022")</f>
        <v/>
      </c>
      <c r="X22">
        <f>HYPERLINK("https://klasma.github.io/Logging_1383/kartor/A 61966-2022 karta.png", "A 61966-2022")</f>
        <v/>
      </c>
      <c r="Y22">
        <f>HYPERLINK("https://klasma.github.io/Logging_1383/kartor_geotiff/A 61966-2022 georefererad karta.tif", "A 61966-2022")</f>
        <v/>
      </c>
      <c r="AA22">
        <f>HYPERLINK("https://klasma.github.io/Logging_1383/klagomål/A 61966-2022 FSC-klagomål.docx", "A 61966-2022")</f>
        <v/>
      </c>
      <c r="AB22">
        <f>HYPERLINK("https://klasma.github.io/Logging_1383/klagomålsmail/A 61966-2022 FSC-klagomål mail.docx", "A 61966-2022")</f>
        <v/>
      </c>
      <c r="AC22">
        <f>HYPERLINK("https://klasma.github.io/Logging_1383/tillsyn/A 61966-2022 tillsynsbegäran.docx", "A 61966-2022")</f>
        <v/>
      </c>
      <c r="AD22">
        <f>HYPERLINK("https://klasma.github.io/Logging_1383/tillsynsmail/A 61966-2022 tillsynsbegäran mail.docx", "A 61966-2022")</f>
        <v/>
      </c>
    </row>
    <row r="23" ht="15" customHeight="1">
      <c r="A23" t="inlineStr">
        <is>
          <t>A 8254-2024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45352</v>
      </c>
      <c r="E23" s="1" t="n">
        <v>46322</v>
      </c>
      <c r="F23" t="inlineStr">
        <is>
          <t>HALLANDS LÄN</t>
        </is>
      </c>
      <c r="G23" t="inlineStr">
        <is>
          <t>VARBERG</t>
        </is>
      </c>
      <c r="I23" t="n">
        <v>0.5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s="2" t="inlineStr">
        <is>
          <t>Jättesvampmal</t>
        </is>
      </c>
      <c r="W23">
        <f>HYPERLINK("https://klasma.github.io/Logging_1383/artfynd/A 8254-2024 artfynd.xlsx", "A 8254-2024")</f>
        <v/>
      </c>
      <c r="X23">
        <f>HYPERLINK("https://klasma.github.io/Logging_1383/kartor/A 8254-2024 karta.png", "A 8254-2024")</f>
        <v/>
      </c>
      <c r="Y23">
        <f>HYPERLINK("https://klasma.github.io/Logging_1383/kartor_geotiff/A 8254-2024 georefererad karta.tif", "A 8254-2024")</f>
        <v/>
      </c>
      <c r="AA23">
        <f>HYPERLINK("https://klasma.github.io/Logging_1383/klagomål/A 8254-2024 FSC-klagomål.docx", "A 8254-2024")</f>
        <v/>
      </c>
      <c r="AB23">
        <f>HYPERLINK("https://klasma.github.io/Logging_1383/klagomålsmail/A 8254-2024 FSC-klagomål mail.docx", "A 8254-2024")</f>
        <v/>
      </c>
      <c r="AC23">
        <f>HYPERLINK("https://klasma.github.io/Logging_1383/tillsyn/A 8254-2024 tillsynsbegäran.docx", "A 8254-2024")</f>
        <v/>
      </c>
      <c r="AD23">
        <f>HYPERLINK("https://klasma.github.io/Logging_1383/tillsynsmail/A 8254-2024 tillsynsbegäran mail.docx", "A 8254-2024")</f>
        <v/>
      </c>
    </row>
    <row r="24" ht="15" customHeight="1">
      <c r="A24" t="inlineStr">
        <is>
          <t>A 46737-2023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45198</v>
      </c>
      <c r="E24" s="1" t="n">
        <v>46322</v>
      </c>
      <c r="F24" t="inlineStr">
        <is>
          <t>HALLANDS LÄN</t>
        </is>
      </c>
      <c r="G24" t="inlineStr">
        <is>
          <t>VARBERG</t>
        </is>
      </c>
      <c r="I24" t="n">
        <v>1.7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s="2" t="inlineStr">
        <is>
          <t>Ask</t>
        </is>
      </c>
      <c r="W24">
        <f>HYPERLINK("https://klasma.github.io/Logging_1383/artfynd/A 46737-2023 artfynd.xlsx", "A 46737-2023")</f>
        <v/>
      </c>
      <c r="X24">
        <f>HYPERLINK("https://klasma.github.io/Logging_1383/kartor/A 46737-2023 karta.png", "A 46737-2023")</f>
        <v/>
      </c>
      <c r="Y24">
        <f>HYPERLINK("https://klasma.github.io/Logging_1383/kartor_geotiff/A 46737-2023 georefererad karta.tif", "A 46737-2023")</f>
        <v/>
      </c>
      <c r="AA24">
        <f>HYPERLINK("https://klasma.github.io/Logging_1383/klagomål/A 46737-2023 FSC-klagomål.docx", "A 46737-2023")</f>
        <v/>
      </c>
      <c r="AB24">
        <f>HYPERLINK("https://klasma.github.io/Logging_1383/klagomålsmail/A 46737-2023 FSC-klagomål mail.docx", "A 46737-2023")</f>
        <v/>
      </c>
      <c r="AC24">
        <f>HYPERLINK("https://klasma.github.io/Logging_1383/tillsyn/A 46737-2023 tillsynsbegäran.docx", "A 46737-2023")</f>
        <v/>
      </c>
      <c r="AD24">
        <f>HYPERLINK("https://klasma.github.io/Logging_1383/tillsynsmail/A 46737-2023 tillsynsbegäran mail.docx", "A 46737-2023")</f>
        <v/>
      </c>
    </row>
    <row r="25" ht="15" customHeight="1">
      <c r="A25" t="inlineStr">
        <is>
          <t>A 3481-2025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45680</v>
      </c>
      <c r="E25" s="1" t="n">
        <v>46322</v>
      </c>
      <c r="F25" t="inlineStr">
        <is>
          <t>HALLANDS LÄN</t>
        </is>
      </c>
      <c r="G25" t="inlineStr">
        <is>
          <t>VARBERG</t>
        </is>
      </c>
      <c r="I25" t="n">
        <v>8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0</v>
      </c>
      <c r="V25" s="2" t="inlineStr">
        <is>
          <t>Bivråk</t>
        </is>
      </c>
      <c r="W25">
        <f>HYPERLINK("https://klasma.github.io/Logging_1383/artfynd/A 3481-2025 artfynd.xlsx", "A 3481-2025")</f>
        <v/>
      </c>
      <c r="X25">
        <f>HYPERLINK("https://klasma.github.io/Logging_1383/kartor/A 3481-2025 karta.png", "A 3481-2025")</f>
        <v/>
      </c>
      <c r="Y25">
        <f>HYPERLINK("https://klasma.github.io/Logging_1383/kartor_geotiff/A 3481-2025 georefererad karta.tif", "A 3481-2025")</f>
        <v/>
      </c>
      <c r="AA25">
        <f>HYPERLINK("https://klasma.github.io/Logging_1383/klagomål/A 3481-2025 FSC-klagomål.docx", "A 3481-2025")</f>
        <v/>
      </c>
      <c r="AB25">
        <f>HYPERLINK("https://klasma.github.io/Logging_1383/klagomålsmail/A 3481-2025 FSC-klagomål mail.docx", "A 3481-2025")</f>
        <v/>
      </c>
      <c r="AC25">
        <f>HYPERLINK("https://klasma.github.io/Logging_1383/tillsyn/A 3481-2025 tillsynsbegäran.docx", "A 3481-2025")</f>
        <v/>
      </c>
      <c r="AD25">
        <f>HYPERLINK("https://klasma.github.io/Logging_1383/tillsynsmail/A 3481-2025 tillsynsbegäran mail.docx", "A 3481-2025")</f>
        <v/>
      </c>
      <c r="AE25">
        <f>HYPERLINK("https://klasma.github.io/Logging_1383/fåglar/A 3481-2025 prioriterade fågelarter.docx", "A 3481-2025")</f>
        <v/>
      </c>
    </row>
    <row r="26" ht="15" customHeight="1">
      <c r="A26" t="inlineStr">
        <is>
          <t>A 20045-2024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45434</v>
      </c>
      <c r="E26" s="1" t="n">
        <v>46322</v>
      </c>
      <c r="F26" t="inlineStr">
        <is>
          <t>HALLANDS LÄN</t>
        </is>
      </c>
      <c r="G26" t="inlineStr">
        <is>
          <t>VARBERG</t>
        </is>
      </c>
      <c r="I26" t="n">
        <v>3.8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s="2" t="inlineStr">
        <is>
          <t>Igelkott</t>
        </is>
      </c>
      <c r="W26">
        <f>HYPERLINK("https://klasma.github.io/Logging_1383/artfynd/A 20045-2024 artfynd.xlsx", "A 20045-2024")</f>
        <v/>
      </c>
      <c r="X26">
        <f>HYPERLINK("https://klasma.github.io/Logging_1383/kartor/A 20045-2024 karta.png", "A 20045-2024")</f>
        <v/>
      </c>
      <c r="Y26">
        <f>HYPERLINK("https://klasma.github.io/Logging_1383/kartor_geotiff/A 20045-2024 georefererad karta.tif", "A 20045-2024")</f>
        <v/>
      </c>
      <c r="AA26">
        <f>HYPERLINK("https://klasma.github.io/Logging_1383/klagomål/A 20045-2024 FSC-klagomål.docx", "A 20045-2024")</f>
        <v/>
      </c>
      <c r="AB26">
        <f>HYPERLINK("https://klasma.github.io/Logging_1383/klagomålsmail/A 20045-2024 FSC-klagomål mail.docx", "A 20045-2024")</f>
        <v/>
      </c>
      <c r="AC26">
        <f>HYPERLINK("https://klasma.github.io/Logging_1383/tillsyn/A 20045-2024 tillsynsbegäran.docx", "A 20045-2024")</f>
        <v/>
      </c>
      <c r="AD26">
        <f>HYPERLINK("https://klasma.github.io/Logging_1383/tillsynsmail/A 20045-2024 tillsynsbegäran mail.docx", "A 20045-2024")</f>
        <v/>
      </c>
    </row>
    <row r="27" ht="15" customHeight="1">
      <c r="A27" t="inlineStr">
        <is>
          <t>A 42573-2022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44831</v>
      </c>
      <c r="E27" s="1" t="n">
        <v>46322</v>
      </c>
      <c r="F27" t="inlineStr">
        <is>
          <t>HALLANDS LÄN</t>
        </is>
      </c>
      <c r="G27" t="inlineStr">
        <is>
          <t>VARBERG</t>
        </is>
      </c>
      <c r="I27" t="n">
        <v>2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s="2" t="inlineStr">
        <is>
          <t>Brun glada</t>
        </is>
      </c>
      <c r="W27">
        <f>HYPERLINK("https://klasma.github.io/Logging_1383/artfynd/A 42573-2022 artfynd.xlsx", "A 42573-2022")</f>
        <v/>
      </c>
      <c r="X27">
        <f>HYPERLINK("https://klasma.github.io/Logging_1383/kartor/A 42573-2022 karta.png", "A 42573-2022")</f>
        <v/>
      </c>
      <c r="Y27">
        <f>HYPERLINK("https://klasma.github.io/Logging_1383/kartor_geotiff/A 42573-2022 georefererad karta.tif", "A 42573-2022")</f>
        <v/>
      </c>
      <c r="AA27">
        <f>HYPERLINK("https://klasma.github.io/Logging_1383/klagomål/A 42573-2022 FSC-klagomål.docx", "A 42573-2022")</f>
        <v/>
      </c>
      <c r="AB27">
        <f>HYPERLINK("https://klasma.github.io/Logging_1383/klagomålsmail/A 42573-2022 FSC-klagomål mail.docx", "A 42573-2022")</f>
        <v/>
      </c>
      <c r="AC27">
        <f>HYPERLINK("https://klasma.github.io/Logging_1383/tillsyn/A 42573-2022 tillsynsbegäran.docx", "A 42573-2022")</f>
        <v/>
      </c>
      <c r="AD27">
        <f>HYPERLINK("https://klasma.github.io/Logging_1383/tillsynsmail/A 42573-2022 tillsynsbegäran mail.docx", "A 42573-2022")</f>
        <v/>
      </c>
      <c r="AE27">
        <f>HYPERLINK("https://klasma.github.io/Logging_1383/fåglar/A 42573-2022 prioriterade fågelarter.docx", "A 42573-2022")</f>
        <v/>
      </c>
    </row>
    <row r="28" ht="15" customHeight="1">
      <c r="A28" t="inlineStr">
        <is>
          <t>A 49083-2022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44860</v>
      </c>
      <c r="E28" s="1" t="n">
        <v>46322</v>
      </c>
      <c r="F28" t="inlineStr">
        <is>
          <t>HALLANDS LÄN</t>
        </is>
      </c>
      <c r="G28" t="inlineStr">
        <is>
          <t>VARBERG</t>
        </is>
      </c>
      <c r="I28" t="n">
        <v>13.3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s="2" t="inlineStr">
        <is>
          <t>Kambräken</t>
        </is>
      </c>
      <c r="W28">
        <f>HYPERLINK("https://klasma.github.io/Logging_1383/artfynd/A 49083-2022 artfynd.xlsx", "A 49083-2022")</f>
        <v/>
      </c>
      <c r="X28">
        <f>HYPERLINK("https://klasma.github.io/Logging_1383/kartor/A 49083-2022 karta.png", "A 49083-2022")</f>
        <v/>
      </c>
      <c r="Y28">
        <f>HYPERLINK("https://klasma.github.io/Logging_1383/kartor_geotiff/A 49083-2022 georefererad karta.tif", "A 49083-2022")</f>
        <v/>
      </c>
      <c r="AA28">
        <f>HYPERLINK("https://klasma.github.io/Logging_1383/klagomål/A 49083-2022 FSC-klagomål.docx", "A 49083-2022")</f>
        <v/>
      </c>
      <c r="AB28">
        <f>HYPERLINK("https://klasma.github.io/Logging_1383/klagomålsmail/A 49083-2022 FSC-klagomål mail.docx", "A 49083-2022")</f>
        <v/>
      </c>
      <c r="AC28">
        <f>HYPERLINK("https://klasma.github.io/Logging_1383/tillsyn/A 49083-2022 tillsynsbegäran.docx", "A 49083-2022")</f>
        <v/>
      </c>
      <c r="AD28">
        <f>HYPERLINK("https://klasma.github.io/Logging_1383/tillsynsmail/A 49083-2022 tillsynsbegäran mail.docx", "A 49083-2022")</f>
        <v/>
      </c>
    </row>
    <row r="29" ht="15" customHeight="1">
      <c r="A29" t="inlineStr">
        <is>
          <t>A 15095-2025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45744</v>
      </c>
      <c r="E29" s="1" t="n">
        <v>46322</v>
      </c>
      <c r="F29" t="inlineStr">
        <is>
          <t>HALLANDS LÄN</t>
        </is>
      </c>
      <c r="G29" t="inlineStr">
        <is>
          <t>VARBERG</t>
        </is>
      </c>
      <c r="I29" t="n">
        <v>3.7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Sotvaxskivling</t>
        </is>
      </c>
      <c r="W29">
        <f>HYPERLINK("https://klasma.github.io/Logging_1383/artfynd/A 15095-2025 artfynd.xlsx", "A 15095-2025")</f>
        <v/>
      </c>
      <c r="X29">
        <f>HYPERLINK("https://klasma.github.io/Logging_1383/kartor/A 15095-2025 karta.png", "A 15095-2025")</f>
        <v/>
      </c>
      <c r="Y29">
        <f>HYPERLINK("https://klasma.github.io/Logging_1383/kartor_geotiff/A 15095-2025 georefererad karta.tif", "A 15095-2025")</f>
        <v/>
      </c>
      <c r="AA29">
        <f>HYPERLINK("https://klasma.github.io/Logging_1383/klagomål/A 15095-2025 FSC-klagomål.docx", "A 15095-2025")</f>
        <v/>
      </c>
      <c r="AB29">
        <f>HYPERLINK("https://klasma.github.io/Logging_1383/klagomålsmail/A 15095-2025 FSC-klagomål mail.docx", "A 15095-2025")</f>
        <v/>
      </c>
      <c r="AC29">
        <f>HYPERLINK("https://klasma.github.io/Logging_1383/tillsyn/A 15095-2025 tillsynsbegäran.docx", "A 15095-2025")</f>
        <v/>
      </c>
      <c r="AD29">
        <f>HYPERLINK("https://klasma.github.io/Logging_1383/tillsynsmail/A 15095-2025 tillsynsbegäran mail.docx", "A 15095-2025")</f>
        <v/>
      </c>
    </row>
    <row r="30" ht="15" customHeight="1">
      <c r="A30" t="inlineStr">
        <is>
          <t>A 7038-2024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45343</v>
      </c>
      <c r="E30" s="1" t="n">
        <v>46322</v>
      </c>
      <c r="F30" t="inlineStr">
        <is>
          <t>HALLANDS LÄN</t>
        </is>
      </c>
      <c r="G30" t="inlineStr">
        <is>
          <t>VARBERG</t>
        </is>
      </c>
      <c r="I30" t="n">
        <v>2.6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2</v>
      </c>
      <c r="U30" t="n">
        <v>1</v>
      </c>
      <c r="V30" s="2" t="inlineStr">
        <is>
          <t>Dvärgjohannesört</t>
        </is>
      </c>
      <c r="W30">
        <f>HYPERLINK("https://klasma.github.io/Logging_1383/artfynd/A 7038-2024 artfynd.xlsx", "A 7038-2024")</f>
        <v/>
      </c>
      <c r="X30">
        <f>HYPERLINK("https://klasma.github.io/Logging_1383/kartor/A 7038-2024 karta.png", "A 7038-2024")</f>
        <v/>
      </c>
      <c r="Y30">
        <f>HYPERLINK("https://klasma.github.io/Logging_1383/kartor_geotiff/A 7038-2024 georefererad karta.tif", "A 7038-2024")</f>
        <v/>
      </c>
      <c r="AA30">
        <f>HYPERLINK("https://klasma.github.io/Logging_1383/klagomål/A 7038-2024 FSC-klagomål.docx", "A 7038-2024")</f>
        <v/>
      </c>
      <c r="AB30">
        <f>HYPERLINK("https://klasma.github.io/Logging_1383/klagomålsmail/A 7038-2024 FSC-klagomål mail.docx", "A 7038-2024")</f>
        <v/>
      </c>
      <c r="AC30">
        <f>HYPERLINK("https://klasma.github.io/Logging_1383/tillsyn/A 7038-2024 tillsynsbegäran.docx", "A 7038-2024")</f>
        <v/>
      </c>
      <c r="AD30">
        <f>HYPERLINK("https://klasma.github.io/Logging_1383/tillsynsmail/A 7038-2024 tillsynsbegäran mail.docx", "A 7038-2024")</f>
        <v/>
      </c>
    </row>
    <row r="31" ht="15" customHeight="1">
      <c r="A31" t="inlineStr">
        <is>
          <t>A 38094-2026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46281</v>
      </c>
      <c r="E31" s="1" t="n">
        <v>46322</v>
      </c>
      <c r="F31" t="inlineStr">
        <is>
          <t>HALLANDS LÄN</t>
        </is>
      </c>
      <c r="G31" t="inlineStr">
        <is>
          <t>VARBERG</t>
        </is>
      </c>
      <c r="I31" t="n">
        <v>8.800000000000001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s="2" t="inlineStr">
        <is>
          <t>Spillkråka</t>
        </is>
      </c>
      <c r="W31">
        <f>HYPERLINK("https://klasma.github.io/Logging_1383/artfynd/A 38094-2026 artfynd.xlsx", "A 38094-2026")</f>
        <v/>
      </c>
      <c r="X31">
        <f>HYPERLINK("https://klasma.github.io/Logging_1383/kartor/A 38094-2026 karta.png", "A 38094-2026")</f>
        <v/>
      </c>
      <c r="Y31">
        <f>HYPERLINK("https://klasma.github.io/Logging_1383/kartor_geotiff/A 38094-2026 georefererad karta.tif", "A 38094-2026")</f>
        <v/>
      </c>
      <c r="AA31">
        <f>HYPERLINK("https://klasma.github.io/Logging_1383/klagomål/A 38094-2026 FSC-klagomål.docx", "A 38094-2026")</f>
        <v/>
      </c>
      <c r="AB31">
        <f>HYPERLINK("https://klasma.github.io/Logging_1383/klagomålsmail/A 38094-2026 FSC-klagomål mail.docx", "A 38094-2026")</f>
        <v/>
      </c>
      <c r="AC31">
        <f>HYPERLINK("https://klasma.github.io/Logging_1383/tillsyn/A 38094-2026 tillsynsbegäran.docx", "A 38094-2026")</f>
        <v/>
      </c>
      <c r="AD31">
        <f>HYPERLINK("https://klasma.github.io/Logging_1383/tillsynsmail/A 38094-2026 tillsynsbegäran mail.docx", "A 38094-2026")</f>
        <v/>
      </c>
      <c r="AE31">
        <f>HYPERLINK("https://klasma.github.io/Logging_1383/fåglar/A 38094-2026 prioriterade fågelarter.docx", "A 38094-2026")</f>
        <v/>
      </c>
    </row>
    <row r="32" ht="15" customHeight="1">
      <c r="A32" t="inlineStr">
        <is>
          <t>A 34833-2023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45141</v>
      </c>
      <c r="E32" s="1" t="n">
        <v>46322</v>
      </c>
      <c r="F32" t="inlineStr">
        <is>
          <t>HALLANDS LÄN</t>
        </is>
      </c>
      <c r="G32" t="inlineStr">
        <is>
          <t>VARBERG</t>
        </is>
      </c>
      <c r="I32" t="n">
        <v>0.9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s="2" t="inlineStr">
        <is>
          <t>Tibast</t>
        </is>
      </c>
      <c r="W32">
        <f>HYPERLINK("https://klasma.github.io/Logging_1383/artfynd/A 34833-2023 artfynd.xlsx", "A 34833-2023")</f>
        <v/>
      </c>
      <c r="X32">
        <f>HYPERLINK("https://klasma.github.io/Logging_1383/kartor/A 34833-2023 karta.png", "A 34833-2023")</f>
        <v/>
      </c>
      <c r="Y32">
        <f>HYPERLINK("https://klasma.github.io/Logging_1383/kartor_geotiff/A 34833-2023 georefererad karta.tif", "A 34833-2023")</f>
        <v/>
      </c>
      <c r="AA32">
        <f>HYPERLINK("https://klasma.github.io/Logging_1383/klagomål/A 34833-2023 FSC-klagomål.docx", "A 34833-2023")</f>
        <v/>
      </c>
      <c r="AB32">
        <f>HYPERLINK("https://klasma.github.io/Logging_1383/klagomålsmail/A 34833-2023 FSC-klagomål mail.docx", "A 34833-2023")</f>
        <v/>
      </c>
      <c r="AC32">
        <f>HYPERLINK("https://klasma.github.io/Logging_1383/tillsyn/A 34833-2023 tillsynsbegäran.docx", "A 34833-2023")</f>
        <v/>
      </c>
      <c r="AD32">
        <f>HYPERLINK("https://klasma.github.io/Logging_1383/tillsynsmail/A 34833-2023 tillsynsbegäran mail.docx", "A 34833-2023")</f>
        <v/>
      </c>
    </row>
    <row r="33" ht="15" customHeight="1">
      <c r="A33" t="inlineStr">
        <is>
          <t>A 33144-2025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45840</v>
      </c>
      <c r="E33" s="1" t="n">
        <v>46322</v>
      </c>
      <c r="F33" t="inlineStr">
        <is>
          <t>HALLANDS LÄN</t>
        </is>
      </c>
      <c r="G33" t="inlineStr">
        <is>
          <t>VARBERG</t>
        </is>
      </c>
      <c r="I33" t="n">
        <v>2.4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s="2" t="inlineStr">
        <is>
          <t>Spillkråka</t>
        </is>
      </c>
      <c r="W33">
        <f>HYPERLINK("https://klasma.github.io/Logging_1383/artfynd/A 33144-2025 artfynd.xlsx", "A 33144-2025")</f>
        <v/>
      </c>
      <c r="X33">
        <f>HYPERLINK("https://klasma.github.io/Logging_1383/kartor/A 33144-2025 karta.png", "A 33144-2025")</f>
        <v/>
      </c>
      <c r="Y33">
        <f>HYPERLINK("https://klasma.github.io/Logging_1383/kartor_geotiff/A 33144-2025 georefererad karta.tif", "A 33144-2025")</f>
        <v/>
      </c>
      <c r="AA33">
        <f>HYPERLINK("https://klasma.github.io/Logging_1383/klagomål/A 33144-2025 FSC-klagomål.docx", "A 33144-2025")</f>
        <v/>
      </c>
      <c r="AB33">
        <f>HYPERLINK("https://klasma.github.io/Logging_1383/klagomålsmail/A 33144-2025 FSC-klagomål mail.docx", "A 33144-2025")</f>
        <v/>
      </c>
      <c r="AC33">
        <f>HYPERLINK("https://klasma.github.io/Logging_1383/tillsyn/A 33144-2025 tillsynsbegäran.docx", "A 33144-2025")</f>
        <v/>
      </c>
      <c r="AD33">
        <f>HYPERLINK("https://klasma.github.io/Logging_1383/tillsynsmail/A 33144-2025 tillsynsbegäran mail.docx", "A 33144-2025")</f>
        <v/>
      </c>
      <c r="AE33">
        <f>HYPERLINK("https://klasma.github.io/Logging_1383/fåglar/A 33144-2025 prioriterade fågelarter.docx", "A 33144-2025")</f>
        <v/>
      </c>
    </row>
    <row r="34" ht="15" customHeight="1">
      <c r="A34" t="inlineStr">
        <is>
          <t>A 15066-2022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44657</v>
      </c>
      <c r="E34" s="1" t="n">
        <v>46322</v>
      </c>
      <c r="F34" t="inlineStr">
        <is>
          <t>HALLANDS LÄN</t>
        </is>
      </c>
      <c r="G34" t="inlineStr">
        <is>
          <t>VARBERG</t>
        </is>
      </c>
      <c r="I34" t="n">
        <v>4.8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s="2" t="inlineStr">
        <is>
          <t>Grönvit nattviol</t>
        </is>
      </c>
      <c r="W34">
        <f>HYPERLINK("https://klasma.github.io/Logging_1383/artfynd/A 15066-2022 artfynd.xlsx", "A 15066-2022")</f>
        <v/>
      </c>
      <c r="X34">
        <f>HYPERLINK("https://klasma.github.io/Logging_1383/kartor/A 15066-2022 karta.png", "A 15066-2022")</f>
        <v/>
      </c>
      <c r="Y34">
        <f>HYPERLINK("https://klasma.github.io/Logging_1383/kartor_geotiff/A 15066-2022 georefererad karta.tif", "A 15066-2022")</f>
        <v/>
      </c>
      <c r="AA34">
        <f>HYPERLINK("https://klasma.github.io/Logging_1383/klagomål/A 15066-2022 FSC-klagomål.docx", "A 15066-2022")</f>
        <v/>
      </c>
      <c r="AB34">
        <f>HYPERLINK("https://klasma.github.io/Logging_1383/klagomålsmail/A 15066-2022 FSC-klagomål mail.docx", "A 15066-2022")</f>
        <v/>
      </c>
      <c r="AC34">
        <f>HYPERLINK("https://klasma.github.io/Logging_1383/tillsyn/A 15066-2022 tillsynsbegäran.docx", "A 15066-2022")</f>
        <v/>
      </c>
      <c r="AD34">
        <f>HYPERLINK("https://klasma.github.io/Logging_1383/tillsynsmail/A 15066-2022 tillsynsbegäran mail.docx", "A 15066-2022")</f>
        <v/>
      </c>
    </row>
    <row r="35" ht="15" customHeight="1">
      <c r="A35" t="inlineStr">
        <is>
          <t>A 42723-2023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45181</v>
      </c>
      <c r="E35" s="1" t="n">
        <v>46322</v>
      </c>
      <c r="F35" t="inlineStr">
        <is>
          <t>HALLANDS LÄN</t>
        </is>
      </c>
      <c r="G35" t="inlineStr">
        <is>
          <t>VARBERG</t>
        </is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s="2" t="inlineStr">
        <is>
          <t>Hasselmus</t>
        </is>
      </c>
      <c r="W35">
        <f>HYPERLINK("https://klasma.github.io/Logging_1383/artfynd/A 42723-2023 artfynd.xlsx", "A 42723-2023")</f>
        <v/>
      </c>
      <c r="X35">
        <f>HYPERLINK("https://klasma.github.io/Logging_1383/kartor/A 42723-2023 karta.png", "A 42723-2023")</f>
        <v/>
      </c>
      <c r="Y35">
        <f>HYPERLINK("https://klasma.github.io/Logging_1383/kartor_geotiff/A 42723-2023 georefererad karta.tif", "A 42723-2023")</f>
        <v/>
      </c>
      <c r="AA35">
        <f>HYPERLINK("https://klasma.github.io/Logging_1383/klagomål/A 42723-2023 FSC-klagomål.docx", "A 42723-2023")</f>
        <v/>
      </c>
      <c r="AB35">
        <f>HYPERLINK("https://klasma.github.io/Logging_1383/klagomålsmail/A 42723-2023 FSC-klagomål mail.docx", "A 42723-2023")</f>
        <v/>
      </c>
      <c r="AC35">
        <f>HYPERLINK("https://klasma.github.io/Logging_1383/tillsyn/A 42723-2023 tillsynsbegäran.docx", "A 42723-2023")</f>
        <v/>
      </c>
      <c r="AD35">
        <f>HYPERLINK("https://klasma.github.io/Logging_1383/tillsynsmail/A 42723-2023 tillsynsbegäran mail.docx", "A 42723-2023")</f>
        <v/>
      </c>
    </row>
    <row r="36" ht="15" customHeight="1">
      <c r="A36" t="inlineStr">
        <is>
          <t>A 25055-2026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46174</v>
      </c>
      <c r="E36" s="1" t="n">
        <v>46322</v>
      </c>
      <c r="F36" t="inlineStr">
        <is>
          <t>HALLANDS LÄN</t>
        </is>
      </c>
      <c r="G36" t="inlineStr">
        <is>
          <t>VARBERG</t>
        </is>
      </c>
      <c r="I36" t="n">
        <v>2.3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s="2" t="inlineStr">
        <is>
          <t>Skogsödla</t>
        </is>
      </c>
      <c r="W36">
        <f>HYPERLINK("https://klasma.github.io/Logging_1383/artfynd/A 25055-2026 artfynd.xlsx", "A 25055-2026")</f>
        <v/>
      </c>
      <c r="X36">
        <f>HYPERLINK("https://klasma.github.io/Logging_1383/kartor/A 25055-2026 karta.png", "A 25055-2026")</f>
        <v/>
      </c>
      <c r="Y36">
        <f>HYPERLINK("https://klasma.github.io/Logging_1383/kartor_geotiff/A 25055-2026 georefererad karta.tif", "A 25055-2026")</f>
        <v/>
      </c>
      <c r="AA36">
        <f>HYPERLINK("https://klasma.github.io/Logging_1383/klagomål/A 25055-2026 FSC-klagomål.docx", "A 25055-2026")</f>
        <v/>
      </c>
      <c r="AB36">
        <f>HYPERLINK("https://klasma.github.io/Logging_1383/klagomålsmail/A 25055-2026 FSC-klagomål mail.docx", "A 25055-2026")</f>
        <v/>
      </c>
      <c r="AC36">
        <f>HYPERLINK("https://klasma.github.io/Logging_1383/tillsyn/A 25055-2026 tillsynsbegäran.docx", "A 25055-2026")</f>
        <v/>
      </c>
      <c r="AD36">
        <f>HYPERLINK("https://klasma.github.io/Logging_1383/tillsynsmail/A 25055-2026 tillsynsbegäran mail.docx", "A 25055-2026")</f>
        <v/>
      </c>
    </row>
    <row r="37" ht="15" customHeight="1">
      <c r="A37" t="inlineStr">
        <is>
          <t>A 38226-2022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44812</v>
      </c>
      <c r="E37" s="1" t="n">
        <v>46322</v>
      </c>
      <c r="F37" t="inlineStr">
        <is>
          <t>HALLANDS LÄN</t>
        </is>
      </c>
      <c r="G37" t="inlineStr">
        <is>
          <t>VARBERG</t>
        </is>
      </c>
      <c r="I37" t="n">
        <v>1.7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s="2" t="inlineStr">
        <is>
          <t>Mindre vattensalamander</t>
        </is>
      </c>
      <c r="W37">
        <f>HYPERLINK("https://klasma.github.io/Logging_1383/artfynd/A 38226-2022 artfynd.xlsx", "A 38226-2022")</f>
        <v/>
      </c>
      <c r="X37">
        <f>HYPERLINK("https://klasma.github.io/Logging_1383/kartor/A 38226-2022 karta.png", "A 38226-2022")</f>
        <v/>
      </c>
      <c r="Y37">
        <f>HYPERLINK("https://klasma.github.io/Logging_1383/kartor_geotiff/A 38226-2022 georefererad karta.tif", "A 38226-2022")</f>
        <v/>
      </c>
      <c r="AA37">
        <f>HYPERLINK("https://klasma.github.io/Logging_1383/klagomål/A 38226-2022 FSC-klagomål.docx", "A 38226-2022")</f>
        <v/>
      </c>
      <c r="AB37">
        <f>HYPERLINK("https://klasma.github.io/Logging_1383/klagomålsmail/A 38226-2022 FSC-klagomål mail.docx", "A 38226-2022")</f>
        <v/>
      </c>
      <c r="AC37">
        <f>HYPERLINK("https://klasma.github.io/Logging_1383/tillsyn/A 38226-2022 tillsynsbegäran.docx", "A 38226-2022")</f>
        <v/>
      </c>
      <c r="AD37">
        <f>HYPERLINK("https://klasma.github.io/Logging_1383/tillsynsmail/A 38226-2022 tillsynsbegäran mail.docx", "A 38226-2022")</f>
        <v/>
      </c>
    </row>
    <row r="38" ht="15" customHeight="1">
      <c r="A38" t="inlineStr">
        <is>
          <t>A 44357-2026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46321</v>
      </c>
      <c r="E38" s="1" t="n">
        <v>46322</v>
      </c>
      <c r="F38" t="inlineStr">
        <is>
          <t>HALLANDS LÄN</t>
        </is>
      </c>
      <c r="G38" t="inlineStr">
        <is>
          <t>VARBERG</t>
        </is>
      </c>
      <c r="I38" t="n">
        <v>8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s="2" t="inlineStr">
        <is>
          <t>Spillkråka</t>
        </is>
      </c>
      <c r="W38">
        <f>HYPERLINK("https://klasma.github.io/Logging_1383/artfynd/A 44357-2026 artfynd.xlsx", "A 44357-2026")</f>
        <v/>
      </c>
      <c r="X38">
        <f>HYPERLINK("https://klasma.github.io/Logging_1383/kartor/A 44357-2026 karta.png", "A 44357-2026")</f>
        <v/>
      </c>
      <c r="Y38">
        <f>HYPERLINK("https://klasma.github.io/Logging_1383/kartor_geotiff/A 44357-2026 georefererad karta.tif", "A 44357-2026")</f>
        <v/>
      </c>
      <c r="AA38">
        <f>HYPERLINK("https://klasma.github.io/Logging_1383/klagomål/A 44357-2026 FSC-klagomål.docx", "A 44357-2026")</f>
        <v/>
      </c>
      <c r="AB38">
        <f>HYPERLINK("https://klasma.github.io/Logging_1383/klagomålsmail/A 44357-2026 FSC-klagomål mail.docx", "A 44357-2026")</f>
        <v/>
      </c>
      <c r="AC38">
        <f>HYPERLINK("https://klasma.github.io/Logging_1383/tillsyn/A 44357-2026 tillsynsbegäran.docx", "A 44357-2026")</f>
        <v/>
      </c>
      <c r="AD38">
        <f>HYPERLINK("https://klasma.github.io/Logging_1383/tillsynsmail/A 44357-2026 tillsynsbegäran mail.docx", "A 44357-2026")</f>
        <v/>
      </c>
      <c r="AE38">
        <f>HYPERLINK("https://klasma.github.io/Logging_1383/fåglar/A 44357-2026 prioriterade fågelarter.docx", "A 44357-2026")</f>
        <v/>
      </c>
    </row>
    <row r="39" ht="15" customHeight="1">
      <c r="A39" t="inlineStr">
        <is>
          <t>S 73-2024</t>
        </is>
      </c>
      <c r="B39" t="inlineStr">
        <is>
          <t>samrådsanmälan</t>
        </is>
      </c>
      <c r="C39" t="inlineStr">
        <is>
          <t>Askåterföring</t>
        </is>
      </c>
      <c r="D39" s="1" t="n">
        <v>45300</v>
      </c>
      <c r="E39" s="1" t="n">
        <v>46322</v>
      </c>
      <c r="F39" t="inlineStr">
        <is>
          <t>HALLANDS LÄN</t>
        </is>
      </c>
      <c r="G39" t="inlineStr">
        <is>
          <t>VARBERG</t>
        </is>
      </c>
      <c r="I39" t="n">
        <v>20.1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s="2" t="inlineStr">
        <is>
          <t>Tornseglare</t>
        </is>
      </c>
      <c r="W39">
        <f>HYPERLINK("https://klasma.github.io/Logging_1383/artfynd/S 73-2024 artfynd.xlsx", "S 73-2024")</f>
        <v/>
      </c>
      <c r="X39">
        <f>HYPERLINK("https://klasma.github.io/Logging_1383/kartor/S 73-2024 karta.png", "S 73-2024")</f>
        <v/>
      </c>
      <c r="Y39">
        <f>HYPERLINK("https://klasma.github.io/Logging_1383/kartor_geotiff/S 73-2024 georefererad karta.tif", "S 73-2024")</f>
        <v/>
      </c>
      <c r="AA39">
        <f>HYPERLINK("https://klasma.github.io/Logging_1383/klagomål/S 73-2024 FSC-klagomål.docx", "S 73-2024")</f>
        <v/>
      </c>
      <c r="AB39">
        <f>HYPERLINK("https://klasma.github.io/Logging_1383/klagomålsmail/S 73-2024 FSC-klagomål mail.docx", "S 73-2024")</f>
        <v/>
      </c>
      <c r="AC39">
        <f>HYPERLINK("https://klasma.github.io/Logging_1383/tillsyn/S 73-2024 tillsynsbegäran.docx", "S 73-2024")</f>
        <v/>
      </c>
      <c r="AD39">
        <f>HYPERLINK("https://klasma.github.io/Logging_1383/tillsynsmail/S 73-2024 tillsynsbegäran mail.docx", "S 73-2024")</f>
        <v/>
      </c>
      <c r="AE39">
        <f>HYPERLINK("https://klasma.github.io/Logging_1383/fåglar/S 73-2024 prioriterade fågelarter.docx", "S 73-2024")</f>
        <v/>
      </c>
    </row>
    <row r="40" ht="15" customHeight="1">
      <c r="A40" t="inlineStr">
        <is>
          <t>S 1760-2022</t>
        </is>
      </c>
      <c r="B40" t="inlineStr">
        <is>
          <t>samrådsanmälan</t>
        </is>
      </c>
      <c r="C40" t="inlineStr">
        <is>
          <t>Åtgärd i nyckelbiotop</t>
        </is>
      </c>
      <c r="D40" s="1" t="n">
        <v>44655</v>
      </c>
      <c r="E40" s="1" t="n">
        <v>46322</v>
      </c>
      <c r="F40" t="inlineStr">
        <is>
          <t>HALLANDS LÄN</t>
        </is>
      </c>
      <c r="G40" t="inlineStr">
        <is>
          <t>VARBERG</t>
        </is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s="2" t="inlineStr">
        <is>
          <t>Ask</t>
        </is>
      </c>
      <c r="W40">
        <f>HYPERLINK("https://klasma.github.io/Logging_1383/artfynd/S 1760-2022 artfynd.xlsx", "S 1760-2022")</f>
        <v/>
      </c>
      <c r="X40">
        <f>HYPERLINK("https://klasma.github.io/Logging_1383/kartor/S 1760-2022 karta.png", "S 1760-2022")</f>
        <v/>
      </c>
      <c r="Y40">
        <f>HYPERLINK("https://klasma.github.io/Logging_1383/kartor_geotiff/S 1760-2022 georefererad karta.tif", "S 1760-2022")</f>
        <v/>
      </c>
      <c r="AA40">
        <f>HYPERLINK("https://klasma.github.io/Logging_1383/klagomål/S 1760-2022 FSC-klagomål.docx", "S 1760-2022")</f>
        <v/>
      </c>
      <c r="AB40">
        <f>HYPERLINK("https://klasma.github.io/Logging_1383/klagomålsmail/S 1760-2022 FSC-klagomål mail.docx", "S 1760-2022")</f>
        <v/>
      </c>
      <c r="AC40">
        <f>HYPERLINK("https://klasma.github.io/Logging_1383/tillsyn/S 1760-2022 tillsynsbegäran.docx", "S 1760-2022")</f>
        <v/>
      </c>
      <c r="AD40">
        <f>HYPERLINK("https://klasma.github.io/Logging_1383/tillsynsmail/S 1760-2022 tillsynsbegäran mail.docx", "S 1760-2022")</f>
        <v/>
      </c>
    </row>
    <row r="41" ht="15" customHeight="1">
      <c r="A41" t="inlineStr">
        <is>
          <t>S 76-2024</t>
        </is>
      </c>
      <c r="B41" t="inlineStr">
        <is>
          <t>samrådsanmälan</t>
        </is>
      </c>
      <c r="C41" t="inlineStr">
        <is>
          <t>Askåterföring</t>
        </is>
      </c>
      <c r="D41" s="1" t="n">
        <v>45300</v>
      </c>
      <c r="E41" s="1" t="n">
        <v>46322</v>
      </c>
      <c r="F41" t="inlineStr">
        <is>
          <t>HALLANDS LÄN</t>
        </is>
      </c>
      <c r="G41" t="inlineStr">
        <is>
          <t>VARBERG</t>
        </is>
      </c>
      <c r="I41" t="n">
        <v>27.6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s="2" t="inlineStr">
        <is>
          <t>Hasselmus</t>
        </is>
      </c>
      <c r="W41">
        <f>HYPERLINK("https://klasma.github.io/Logging_1383/artfynd/S 76-2024 artfynd.xlsx", "S 76-2024")</f>
        <v/>
      </c>
      <c r="X41">
        <f>HYPERLINK("https://klasma.github.io/Logging_1383/kartor/S 76-2024 karta.png", "S 76-2024")</f>
        <v/>
      </c>
      <c r="Y41">
        <f>HYPERLINK("https://klasma.github.io/Logging_1383/kartor_geotiff/S 76-2024 georefererad karta.tif", "S 76-2024")</f>
        <v/>
      </c>
      <c r="AA41">
        <f>HYPERLINK("https://klasma.github.io/Logging_1383/klagomål/S 76-2024 FSC-klagomål.docx", "S 76-2024")</f>
        <v/>
      </c>
      <c r="AB41">
        <f>HYPERLINK("https://klasma.github.io/Logging_1383/klagomålsmail/S 76-2024 FSC-klagomål mail.docx", "S 76-2024")</f>
        <v/>
      </c>
      <c r="AC41">
        <f>HYPERLINK("https://klasma.github.io/Logging_1383/tillsyn/S 76-2024 tillsynsbegäran.docx", "S 76-2024")</f>
        <v/>
      </c>
      <c r="AD41">
        <f>HYPERLINK("https://klasma.github.io/Logging_1383/tillsynsmail/S 76-2024 tillsynsbegäran mail.docx", "S 76-2024")</f>
        <v/>
      </c>
    </row>
    <row r="42" ht="15" customHeight="1">
      <c r="A42" t="inlineStr">
        <is>
          <t>S 295-2024</t>
        </is>
      </c>
      <c r="B42" t="inlineStr">
        <is>
          <t>samrådsanmälan</t>
        </is>
      </c>
      <c r="C42" t="inlineStr">
        <is>
          <t>Askåterföring</t>
        </is>
      </c>
      <c r="D42" s="1" t="n">
        <v>45324</v>
      </c>
      <c r="E42" s="1" t="n">
        <v>46322</v>
      </c>
      <c r="F42" t="inlineStr">
        <is>
          <t>HALLANDS LÄN</t>
        </is>
      </c>
      <c r="G42" t="inlineStr">
        <is>
          <t>VARBERG</t>
        </is>
      </c>
      <c r="I42" t="n">
        <v>18.7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0</v>
      </c>
      <c r="V42" s="2" t="inlineStr">
        <is>
          <t>Sparvuggla</t>
        </is>
      </c>
      <c r="W42">
        <f>HYPERLINK("https://klasma.github.io/Logging_1383/artfynd/S 295-2024 artfynd.xlsx", "S 295-2024")</f>
        <v/>
      </c>
      <c r="X42">
        <f>HYPERLINK("https://klasma.github.io/Logging_1383/kartor/S 295-2024 karta.png", "S 295-2024")</f>
        <v/>
      </c>
      <c r="Y42">
        <f>HYPERLINK("https://klasma.github.io/Logging_1383/kartor_geotiff/S 295-2024 georefererad karta.tif", "S 295-2024")</f>
        <v/>
      </c>
      <c r="AA42">
        <f>HYPERLINK("https://klasma.github.io/Logging_1383/klagomål/S 295-2024 FSC-klagomål.docx", "S 295-2024")</f>
        <v/>
      </c>
      <c r="AB42">
        <f>HYPERLINK("https://klasma.github.io/Logging_1383/klagomålsmail/S 295-2024 FSC-klagomål mail.docx", "S 295-2024")</f>
        <v/>
      </c>
      <c r="AC42">
        <f>HYPERLINK("https://klasma.github.io/Logging_1383/tillsyn/S 295-2024 tillsynsbegäran.docx", "S 295-2024")</f>
        <v/>
      </c>
      <c r="AD42">
        <f>HYPERLINK("https://klasma.github.io/Logging_1383/tillsynsmail/S 295-2024 tillsynsbegäran mail.docx", "S 295-2024")</f>
        <v/>
      </c>
      <c r="AE42">
        <f>HYPERLINK("https://klasma.github.io/Logging_1383/fåglar/S 295-2024 prioriterade fågelarter.docx", "S 295-2024")</f>
        <v/>
      </c>
    </row>
    <row r="43" ht="15" customHeight="1">
      <c r="A43" t="inlineStr">
        <is>
          <t>A 23913-2022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44722</v>
      </c>
      <c r="E43" s="1" t="n">
        <v>46322</v>
      </c>
      <c r="F43" t="inlineStr">
        <is>
          <t>HALLANDS LÄN</t>
        </is>
      </c>
      <c r="G43" t="inlineStr">
        <is>
          <t>VARBERG</t>
        </is>
      </c>
      <c r="I43" t="n">
        <v>0.6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11852-2022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44635</v>
      </c>
      <c r="E44" s="1" t="n">
        <v>46322</v>
      </c>
      <c r="F44" t="inlineStr">
        <is>
          <t>HALLANDS LÄN</t>
        </is>
      </c>
      <c r="G44" t="inlineStr">
        <is>
          <t>VARBERG</t>
        </is>
      </c>
      <c r="I44" t="n">
        <v>9.5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9002-2022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44615</v>
      </c>
      <c r="E45" s="1" t="n">
        <v>46322</v>
      </c>
      <c r="F45" t="inlineStr">
        <is>
          <t>HALLANDS LÄN</t>
        </is>
      </c>
      <c r="G45" t="inlineStr">
        <is>
          <t>VARBERG</t>
        </is>
      </c>
      <c r="I45" t="n">
        <v>4.2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63613-2021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44509</v>
      </c>
      <c r="E46" s="1" t="n">
        <v>46322</v>
      </c>
      <c r="F46" t="inlineStr">
        <is>
          <t>HALLANDS LÄN</t>
        </is>
      </c>
      <c r="G46" t="inlineStr">
        <is>
          <t>VARBERG</t>
        </is>
      </c>
      <c r="I46" t="n">
        <v>2.9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1907-2022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44575</v>
      </c>
      <c r="E47" s="1" t="n">
        <v>46322</v>
      </c>
      <c r="F47" t="inlineStr">
        <is>
          <t>HALLANDS LÄN</t>
        </is>
      </c>
      <c r="G47" t="inlineStr">
        <is>
          <t>VARBERG</t>
        </is>
      </c>
      <c r="I47" t="n">
        <v>0.5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49697-2022</t>
        </is>
      </c>
      <c r="B48" t="inlineStr">
        <is>
          <t>avverkningsanmälan</t>
        </is>
      </c>
      <c r="C48" t="inlineStr">
        <is>
          <t>Avverkning för annat ändamål</t>
        </is>
      </c>
      <c r="D48" s="1" t="n">
        <v>44862</v>
      </c>
      <c r="E48" s="1" t="n">
        <v>46322</v>
      </c>
      <c r="F48" t="inlineStr">
        <is>
          <t>HALLANDS LÄN</t>
        </is>
      </c>
      <c r="G48" t="inlineStr">
        <is>
          <t>VARBERG</t>
        </is>
      </c>
      <c r="I48" t="n">
        <v>0.8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62059-2021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44504</v>
      </c>
      <c r="E49" s="1" t="n">
        <v>46322</v>
      </c>
      <c r="F49" t="inlineStr">
        <is>
          <t>HALLANDS LÄN</t>
        </is>
      </c>
      <c r="G49" t="inlineStr">
        <is>
          <t>VARBERG</t>
        </is>
      </c>
      <c r="I49" t="n">
        <v>2.4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2959-2022</t>
        </is>
      </c>
      <c r="B50" t="inlineStr">
        <is>
          <t>avverkningsanmälan</t>
        </is>
      </c>
      <c r="C50" t="inlineStr">
        <is>
          <t>Avverkning för annat ändamål</t>
        </is>
      </c>
      <c r="D50" s="1" t="n">
        <v>44581</v>
      </c>
      <c r="E50" s="1" t="n">
        <v>46322</v>
      </c>
      <c r="F50" t="inlineStr">
        <is>
          <t>HALLANDS LÄN</t>
        </is>
      </c>
      <c r="G50" t="inlineStr">
        <is>
          <t>VARBERG</t>
        </is>
      </c>
      <c r="I50" t="n">
        <v>2.1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51285-2022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44868</v>
      </c>
      <c r="E51" s="1" t="n">
        <v>46322</v>
      </c>
      <c r="F51" t="inlineStr">
        <is>
          <t>HALLANDS LÄN</t>
        </is>
      </c>
      <c r="G51" t="inlineStr">
        <is>
          <t>VARBERG</t>
        </is>
      </c>
      <c r="I51" t="n">
        <v>4.1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43171-2022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44834</v>
      </c>
      <c r="E52" s="1" t="n">
        <v>46322</v>
      </c>
      <c r="F52" t="inlineStr">
        <is>
          <t>HALLANDS LÄN</t>
        </is>
      </c>
      <c r="G52" t="inlineStr">
        <is>
          <t>VARBERG</t>
        </is>
      </c>
      <c r="I52" t="n">
        <v>6.8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19186-2022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44691</v>
      </c>
      <c r="E53" s="1" t="n">
        <v>46322</v>
      </c>
      <c r="F53" t="inlineStr">
        <is>
          <t>HALLANDS LÄN</t>
        </is>
      </c>
      <c r="G53" t="inlineStr">
        <is>
          <t>VARBERG</t>
        </is>
      </c>
      <c r="I53" t="n">
        <v>5.1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12748-2022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44641</v>
      </c>
      <c r="E54" s="1" t="n">
        <v>46322</v>
      </c>
      <c r="F54" t="inlineStr">
        <is>
          <t>HALLANDS LÄN</t>
        </is>
      </c>
      <c r="G54" t="inlineStr">
        <is>
          <t>VARBERG</t>
        </is>
      </c>
      <c r="I54" t="n">
        <v>1.3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35137-2022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44797</v>
      </c>
      <c r="E55" s="1" t="n">
        <v>46322</v>
      </c>
      <c r="F55" t="inlineStr">
        <is>
          <t>HALLANDS LÄN</t>
        </is>
      </c>
      <c r="G55" t="inlineStr">
        <is>
          <t>VARBERG</t>
        </is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14991-2022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44657</v>
      </c>
      <c r="E56" s="1" t="n">
        <v>46322</v>
      </c>
      <c r="F56" t="inlineStr">
        <is>
          <t>HALLANDS LÄN</t>
        </is>
      </c>
      <c r="G56" t="inlineStr">
        <is>
          <t>VARBERG</t>
        </is>
      </c>
      <c r="I56" t="n">
        <v>1.8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4243-2022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44588</v>
      </c>
      <c r="E57" s="1" t="n">
        <v>46322</v>
      </c>
      <c r="F57" t="inlineStr">
        <is>
          <t>HALLANDS LÄN</t>
        </is>
      </c>
      <c r="G57" t="inlineStr">
        <is>
          <t>VARBERG</t>
        </is>
      </c>
      <c r="I57" t="n">
        <v>0.9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12493-2022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44638</v>
      </c>
      <c r="E58" s="1" t="n">
        <v>46322</v>
      </c>
      <c r="F58" t="inlineStr">
        <is>
          <t>HALLANDS LÄN</t>
        </is>
      </c>
      <c r="G58" t="inlineStr">
        <is>
          <t>VARBERG</t>
        </is>
      </c>
      <c r="I58" t="n">
        <v>0.6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53039-2022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44876</v>
      </c>
      <c r="E59" s="1" t="n">
        <v>46322</v>
      </c>
      <c r="F59" t="inlineStr">
        <is>
          <t>HALLANDS LÄN</t>
        </is>
      </c>
      <c r="G59" t="inlineStr">
        <is>
          <t>VARBERG</t>
        </is>
      </c>
      <c r="I59" t="n">
        <v>1.7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53041-2022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44876</v>
      </c>
      <c r="E60" s="1" t="n">
        <v>46322</v>
      </c>
      <c r="F60" t="inlineStr">
        <is>
          <t>HALLANDS LÄN</t>
        </is>
      </c>
      <c r="G60" t="inlineStr">
        <is>
          <t>VARBERG</t>
        </is>
      </c>
      <c r="I60" t="n">
        <v>0.6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20495-2022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44699</v>
      </c>
      <c r="E61" s="1" t="n">
        <v>46322</v>
      </c>
      <c r="F61" t="inlineStr">
        <is>
          <t>HALLANDS LÄN</t>
        </is>
      </c>
      <c r="G61" t="inlineStr">
        <is>
          <t>VARBERG</t>
        </is>
      </c>
      <c r="I61" t="n">
        <v>0.6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43170-2022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44834</v>
      </c>
      <c r="E62" s="1" t="n">
        <v>46322</v>
      </c>
      <c r="F62" t="inlineStr">
        <is>
          <t>HALLANDS LÄN</t>
        </is>
      </c>
      <c r="G62" t="inlineStr">
        <is>
          <t>VARBERG</t>
        </is>
      </c>
      <c r="I62" t="n">
        <v>3.8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55064-2022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44886</v>
      </c>
      <c r="E63" s="1" t="n">
        <v>46322</v>
      </c>
      <c r="F63" t="inlineStr">
        <is>
          <t>HALLANDS LÄN</t>
        </is>
      </c>
      <c r="G63" t="inlineStr">
        <is>
          <t>VARBERG</t>
        </is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52358-2022</t>
        </is>
      </c>
      <c r="B64" t="inlineStr">
        <is>
          <t>avverkningsanmälan</t>
        </is>
      </c>
      <c r="C64" t="inlineStr">
        <is>
          <t>Avverkning för annat ändamål</t>
        </is>
      </c>
      <c r="D64" s="1" t="n">
        <v>44874</v>
      </c>
      <c r="E64" s="1" t="n">
        <v>46322</v>
      </c>
      <c r="F64" t="inlineStr">
        <is>
          <t>HALLANDS LÄN</t>
        </is>
      </c>
      <c r="G64" t="inlineStr">
        <is>
          <t>VARBERG</t>
        </is>
      </c>
      <c r="I64" t="n">
        <v>1.7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18078-2022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44684</v>
      </c>
      <c r="E65" s="1" t="n">
        <v>46322</v>
      </c>
      <c r="F65" t="inlineStr">
        <is>
          <t>HALLANDS LÄN</t>
        </is>
      </c>
      <c r="G65" t="inlineStr">
        <is>
          <t>VARBERG</t>
        </is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4322-2022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44588</v>
      </c>
      <c r="E66" s="1" t="n">
        <v>46322</v>
      </c>
      <c r="F66" t="inlineStr">
        <is>
          <t>HALLANDS LÄN</t>
        </is>
      </c>
      <c r="G66" t="inlineStr">
        <is>
          <t>VARBERG</t>
        </is>
      </c>
      <c r="I66" t="n">
        <v>8.6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5785-2022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44596</v>
      </c>
      <c r="E67" s="1" t="n">
        <v>46322</v>
      </c>
      <c r="F67" t="inlineStr">
        <is>
          <t>HALLANDS LÄN</t>
        </is>
      </c>
      <c r="G67" t="inlineStr">
        <is>
          <t>VARBERG</t>
        </is>
      </c>
      <c r="I67" t="n">
        <v>9.1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18080-2022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44684</v>
      </c>
      <c r="E68" s="1" t="n">
        <v>46322</v>
      </c>
      <c r="F68" t="inlineStr">
        <is>
          <t>HALLANDS LÄN</t>
        </is>
      </c>
      <c r="G68" t="inlineStr">
        <is>
          <t>VARBERG</t>
        </is>
      </c>
      <c r="I68" t="n">
        <v>1.5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37849-2022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44811</v>
      </c>
      <c r="E69" s="1" t="n">
        <v>46322</v>
      </c>
      <c r="F69" t="inlineStr">
        <is>
          <t>HALLANDS LÄN</t>
        </is>
      </c>
      <c r="G69" t="inlineStr">
        <is>
          <t>VARBERG</t>
        </is>
      </c>
      <c r="I69" t="n">
        <v>1.3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62942-2023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45272</v>
      </c>
      <c r="E70" s="1" t="n">
        <v>46322</v>
      </c>
      <c r="F70" t="inlineStr">
        <is>
          <t>HALLANDS LÄN</t>
        </is>
      </c>
      <c r="G70" t="inlineStr">
        <is>
          <t>VARBERG</t>
        </is>
      </c>
      <c r="I70" t="n">
        <v>7.5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34028-2025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45845</v>
      </c>
      <c r="E71" s="1" t="n">
        <v>46322</v>
      </c>
      <c r="F71" t="inlineStr">
        <is>
          <t>HALLANDS LÄN</t>
        </is>
      </c>
      <c r="G71" t="inlineStr">
        <is>
          <t>VARBERG</t>
        </is>
      </c>
      <c r="I71" t="n">
        <v>0.9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9235-2023</t>
        </is>
      </c>
      <c r="B72" t="inlineStr">
        <is>
          <t>avverkningsanmälan</t>
        </is>
      </c>
      <c r="C72" t="inlineStr">
        <is>
          <t>Avverkning för annat ändamål</t>
        </is>
      </c>
      <c r="D72" s="1" t="n">
        <v>44980</v>
      </c>
      <c r="E72" s="1" t="n">
        <v>46322</v>
      </c>
      <c r="F72" t="inlineStr">
        <is>
          <t>HALLANDS LÄN</t>
        </is>
      </c>
      <c r="G72" t="inlineStr">
        <is>
          <t>VARBERG</t>
        </is>
      </c>
      <c r="I72" t="n">
        <v>0.7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39091-2025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45888</v>
      </c>
      <c r="E73" s="1" t="n">
        <v>46322</v>
      </c>
      <c r="F73" t="inlineStr">
        <is>
          <t>HALLANDS LÄN</t>
        </is>
      </c>
      <c r="G73" t="inlineStr">
        <is>
          <t>VARBERG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45984-2024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45580</v>
      </c>
      <c r="E74" s="1" t="n">
        <v>46322</v>
      </c>
      <c r="F74" t="inlineStr">
        <is>
          <t>HALLANDS LÄN</t>
        </is>
      </c>
      <c r="G74" t="inlineStr">
        <is>
          <t>VARBERG</t>
        </is>
      </c>
      <c r="I74" t="n">
        <v>3.1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14912-2025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45743</v>
      </c>
      <c r="E75" s="1" t="n">
        <v>46322</v>
      </c>
      <c r="F75" t="inlineStr">
        <is>
          <t>HALLANDS LÄN</t>
        </is>
      </c>
      <c r="G75" t="inlineStr">
        <is>
          <t>VARBERG</t>
        </is>
      </c>
      <c r="I75" t="n">
        <v>1.6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15035-2025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45743</v>
      </c>
      <c r="E76" s="1" t="n">
        <v>46322</v>
      </c>
      <c r="F76" t="inlineStr">
        <is>
          <t>HALLANDS LÄN</t>
        </is>
      </c>
      <c r="G76" t="inlineStr">
        <is>
          <t>VARBERG</t>
        </is>
      </c>
      <c r="I76" t="n">
        <v>0.9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35506-2024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45531</v>
      </c>
      <c r="E77" s="1" t="n">
        <v>46322</v>
      </c>
      <c r="F77" t="inlineStr">
        <is>
          <t>HALLANDS LÄN</t>
        </is>
      </c>
      <c r="G77" t="inlineStr">
        <is>
          <t>VARBERG</t>
        </is>
      </c>
      <c r="I77" t="n">
        <v>3.4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35018-2025</t>
        </is>
      </c>
      <c r="B78" t="inlineStr">
        <is>
          <t>avverkningsanmälan</t>
        </is>
      </c>
      <c r="C78" t="inlineStr">
        <is>
          <t>Avverkning för att bevara och utveckla /försöksver</t>
        </is>
      </c>
      <c r="D78" s="1" t="n">
        <v>45851</v>
      </c>
      <c r="E78" s="1" t="n">
        <v>46322</v>
      </c>
      <c r="F78" t="inlineStr">
        <is>
          <t>HALLANDS LÄN</t>
        </is>
      </c>
      <c r="G78" t="inlineStr">
        <is>
          <t>VARBERG</t>
        </is>
      </c>
      <c r="I78" t="n">
        <v>1.6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40940-2025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45897</v>
      </c>
      <c r="E79" s="1" t="n">
        <v>46322</v>
      </c>
      <c r="F79" t="inlineStr">
        <is>
          <t>HALLANDS LÄN</t>
        </is>
      </c>
      <c r="G79" t="inlineStr">
        <is>
          <t>VARBERG</t>
        </is>
      </c>
      <c r="I79" t="n">
        <v>5.6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58683-2022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44902</v>
      </c>
      <c r="E80" s="1" t="n">
        <v>46322</v>
      </c>
      <c r="F80" t="inlineStr">
        <is>
          <t>HALLANDS LÄN</t>
        </is>
      </c>
      <c r="G80" t="inlineStr">
        <is>
          <t>VARBERG</t>
        </is>
      </c>
      <c r="I80" t="n">
        <v>2.4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20647-2023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45058</v>
      </c>
      <c r="E81" s="1" t="n">
        <v>46322</v>
      </c>
      <c r="F81" t="inlineStr">
        <is>
          <t>HALLANDS LÄN</t>
        </is>
      </c>
      <c r="G81" t="inlineStr">
        <is>
          <t>VARBERG</t>
        </is>
      </c>
      <c r="I81" t="n">
        <v>5.3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62740-2023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45271</v>
      </c>
      <c r="E82" s="1" t="n">
        <v>46322</v>
      </c>
      <c r="F82" t="inlineStr">
        <is>
          <t>HALLANDS LÄN</t>
        </is>
      </c>
      <c r="G82" t="inlineStr">
        <is>
          <t>VARBERG</t>
        </is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44740-2023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45184</v>
      </c>
      <c r="E83" s="1" t="n">
        <v>46322</v>
      </c>
      <c r="F83" t="inlineStr">
        <is>
          <t>HALLANDS LÄN</t>
        </is>
      </c>
      <c r="G83" t="inlineStr">
        <is>
          <t>VARBERG</t>
        </is>
      </c>
      <c r="I83" t="n">
        <v>6.7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14536-2023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45013</v>
      </c>
      <c r="E84" s="1" t="n">
        <v>46322</v>
      </c>
      <c r="F84" t="inlineStr">
        <is>
          <t>HALLANDS LÄN</t>
        </is>
      </c>
      <c r="G84" t="inlineStr">
        <is>
          <t>VARBERG</t>
        </is>
      </c>
      <c r="I84" t="n">
        <v>0.5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38547-2025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45884</v>
      </c>
      <c r="E85" s="1" t="n">
        <v>46322</v>
      </c>
      <c r="F85" t="inlineStr">
        <is>
          <t>HALLANDS LÄN</t>
        </is>
      </c>
      <c r="G85" t="inlineStr">
        <is>
          <t>VARBERG</t>
        </is>
      </c>
      <c r="I85" t="n">
        <v>18.8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27275-2026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46188</v>
      </c>
      <c r="E86" s="1" t="n">
        <v>46322</v>
      </c>
      <c r="F86" t="inlineStr">
        <is>
          <t>HALLANDS LÄN</t>
        </is>
      </c>
      <c r="G86" t="inlineStr">
        <is>
          <t>VARBERG</t>
        </is>
      </c>
      <c r="I86" t="n">
        <v>3.9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7109-2023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44970</v>
      </c>
      <c r="E87" s="1" t="n">
        <v>46322</v>
      </c>
      <c r="F87" t="inlineStr">
        <is>
          <t>HALLANDS LÄN</t>
        </is>
      </c>
      <c r="G87" t="inlineStr">
        <is>
          <t>VARBERG</t>
        </is>
      </c>
      <c r="I87" t="n">
        <v>2.1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42569-2025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45905</v>
      </c>
      <c r="E88" s="1" t="n">
        <v>46322</v>
      </c>
      <c r="F88" t="inlineStr">
        <is>
          <t>HALLANDS LÄN</t>
        </is>
      </c>
      <c r="G88" t="inlineStr">
        <is>
          <t>VARBERG</t>
        </is>
      </c>
      <c r="I88" t="n">
        <v>2.3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43273-2025</t>
        </is>
      </c>
      <c r="B89" t="inlineStr">
        <is>
          <t>avverkningsanmälan</t>
        </is>
      </c>
      <c r="C89" t="inlineStr">
        <is>
          <t>Avverkning för annat ändamål</t>
        </is>
      </c>
      <c r="D89" s="1" t="n">
        <v>45910</v>
      </c>
      <c r="E89" s="1" t="n">
        <v>46322</v>
      </c>
      <c r="F89" t="inlineStr">
        <is>
          <t>HALLANDS LÄN</t>
        </is>
      </c>
      <c r="G89" t="inlineStr">
        <is>
          <t>VARBERG</t>
        </is>
      </c>
      <c r="I89" t="n">
        <v>3.2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42978-2025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45909</v>
      </c>
      <c r="E90" s="1" t="n">
        <v>46322</v>
      </c>
      <c r="F90" t="inlineStr">
        <is>
          <t>HALLANDS LÄN</t>
        </is>
      </c>
      <c r="G90" t="inlineStr">
        <is>
          <t>VARBERG</t>
        </is>
      </c>
      <c r="I90" t="n">
        <v>8.699999999999999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42881-2025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45908</v>
      </c>
      <c r="E91" s="1" t="n">
        <v>46322</v>
      </c>
      <c r="F91" t="inlineStr">
        <is>
          <t>HALLANDS LÄN</t>
        </is>
      </c>
      <c r="G91" t="inlineStr">
        <is>
          <t>VARBERG</t>
        </is>
      </c>
      <c r="I91" t="n">
        <v>11.6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41961-2023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45177</v>
      </c>
      <c r="E92" s="1" t="n">
        <v>46322</v>
      </c>
      <c r="F92" t="inlineStr">
        <is>
          <t>HALLANDS LÄN</t>
        </is>
      </c>
      <c r="G92" t="inlineStr">
        <is>
          <t>VARBERG</t>
        </is>
      </c>
      <c r="I92" t="n">
        <v>2.3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7609-2022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44607</v>
      </c>
      <c r="E93" s="1" t="n">
        <v>46322</v>
      </c>
      <c r="F93" t="inlineStr">
        <is>
          <t>HALLANDS LÄN</t>
        </is>
      </c>
      <c r="G93" t="inlineStr">
        <is>
          <t>VARBERG</t>
        </is>
      </c>
      <c r="I93" t="n">
        <v>1.6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20011-2023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45054</v>
      </c>
      <c r="E94" s="1" t="n">
        <v>46322</v>
      </c>
      <c r="F94" t="inlineStr">
        <is>
          <t>HALLANDS LÄN</t>
        </is>
      </c>
      <c r="G94" t="inlineStr">
        <is>
          <t>VARBERG</t>
        </is>
      </c>
      <c r="I94" t="n">
        <v>10.1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43483-2025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45911</v>
      </c>
      <c r="E95" s="1" t="n">
        <v>46322</v>
      </c>
      <c r="F95" t="inlineStr">
        <is>
          <t>HALLANDS LÄN</t>
        </is>
      </c>
      <c r="G95" t="inlineStr">
        <is>
          <t>VARBERG</t>
        </is>
      </c>
      <c r="H95" t="inlineStr">
        <is>
          <t>Kyrkan</t>
        </is>
      </c>
      <c r="I95" t="n">
        <v>1.8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27652-2023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45097</v>
      </c>
      <c r="E96" s="1" t="n">
        <v>46322</v>
      </c>
      <c r="F96" t="inlineStr">
        <is>
          <t>HALLANDS LÄN</t>
        </is>
      </c>
      <c r="G96" t="inlineStr">
        <is>
          <t>VARBERG</t>
        </is>
      </c>
      <c r="I96" t="n">
        <v>3.7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27654-2023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45097</v>
      </c>
      <c r="E97" s="1" t="n">
        <v>46322</v>
      </c>
      <c r="F97" t="inlineStr">
        <is>
          <t>HALLANDS LÄN</t>
        </is>
      </c>
      <c r="G97" t="inlineStr">
        <is>
          <t>VARBERG</t>
        </is>
      </c>
      <c r="I97" t="n">
        <v>1.5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59981-2024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45642</v>
      </c>
      <c r="E98" s="1" t="n">
        <v>46322</v>
      </c>
      <c r="F98" t="inlineStr">
        <is>
          <t>HALLANDS LÄN</t>
        </is>
      </c>
      <c r="G98" t="inlineStr">
        <is>
          <t>VARBERG</t>
        </is>
      </c>
      <c r="I98" t="n">
        <v>0.7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43779-2025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45912</v>
      </c>
      <c r="E99" s="1" t="n">
        <v>46322</v>
      </c>
      <c r="F99" t="inlineStr">
        <is>
          <t>HALLANDS LÄN</t>
        </is>
      </c>
      <c r="G99" t="inlineStr">
        <is>
          <t>VARBERG</t>
        </is>
      </c>
      <c r="I99" t="n">
        <v>0.9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27100-2026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46188</v>
      </c>
      <c r="E100" s="1" t="n">
        <v>46322</v>
      </c>
      <c r="F100" t="inlineStr">
        <is>
          <t>HALLANDS LÄN</t>
        </is>
      </c>
      <c r="G100" t="inlineStr">
        <is>
          <t>VARBERG</t>
        </is>
      </c>
      <c r="I100" t="n">
        <v>4.3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60556-2023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45259</v>
      </c>
      <c r="E101" s="1" t="n">
        <v>46322</v>
      </c>
      <c r="F101" t="inlineStr">
        <is>
          <t>HALLANDS LÄN</t>
        </is>
      </c>
      <c r="G101" t="inlineStr">
        <is>
          <t>VARBERG</t>
        </is>
      </c>
      <c r="I101" t="n">
        <v>1.8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10687-2025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45722</v>
      </c>
      <c r="E102" s="1" t="n">
        <v>46322</v>
      </c>
      <c r="F102" t="inlineStr">
        <is>
          <t>HALLANDS LÄN</t>
        </is>
      </c>
      <c r="G102" t="inlineStr">
        <is>
          <t>VARBERG</t>
        </is>
      </c>
      <c r="I102" t="n">
        <v>2.1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10695-2025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45722</v>
      </c>
      <c r="E103" s="1" t="n">
        <v>46322</v>
      </c>
      <c r="F103" t="inlineStr">
        <is>
          <t>HALLANDS LÄN</t>
        </is>
      </c>
      <c r="G103" t="inlineStr">
        <is>
          <t>VARBERG</t>
        </is>
      </c>
      <c r="I103" t="n">
        <v>4.2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19732-2024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45432</v>
      </c>
      <c r="E104" s="1" t="n">
        <v>46322</v>
      </c>
      <c r="F104" t="inlineStr">
        <is>
          <t>HALLANDS LÄN</t>
        </is>
      </c>
      <c r="G104" t="inlineStr">
        <is>
          <t>VARBERG</t>
        </is>
      </c>
      <c r="I104" t="n">
        <v>6.5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46414-2025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45925</v>
      </c>
      <c r="E105" s="1" t="n">
        <v>46322</v>
      </c>
      <c r="F105" t="inlineStr">
        <is>
          <t>HALLANDS LÄN</t>
        </is>
      </c>
      <c r="G105" t="inlineStr">
        <is>
          <t>VARBERG</t>
        </is>
      </c>
      <c r="I105" t="n">
        <v>3.8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27286-2023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45096</v>
      </c>
      <c r="E106" s="1" t="n">
        <v>46322</v>
      </c>
      <c r="F106" t="inlineStr">
        <is>
          <t>HALLANDS LÄN</t>
        </is>
      </c>
      <c r="G106" t="inlineStr">
        <is>
          <t>VARBERG</t>
        </is>
      </c>
      <c r="I106" t="n">
        <v>1.8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46943-2025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45929</v>
      </c>
      <c r="E107" s="1" t="n">
        <v>46322</v>
      </c>
      <c r="F107" t="inlineStr">
        <is>
          <t>HALLANDS LÄN</t>
        </is>
      </c>
      <c r="G107" t="inlineStr">
        <is>
          <t>VARBERG</t>
        </is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7811-2025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45706</v>
      </c>
      <c r="E108" s="1" t="n">
        <v>46322</v>
      </c>
      <c r="F108" t="inlineStr">
        <is>
          <t>HALLANDS LÄN</t>
        </is>
      </c>
      <c r="G108" t="inlineStr">
        <is>
          <t>VARBERG</t>
        </is>
      </c>
      <c r="H108" t="inlineStr">
        <is>
          <t>Övriga statliga verk och myndigheter</t>
        </is>
      </c>
      <c r="I108" t="n">
        <v>0.5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7812-2025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45706</v>
      </c>
      <c r="E109" s="1" t="n">
        <v>46322</v>
      </c>
      <c r="F109" t="inlineStr">
        <is>
          <t>HALLANDS LÄN</t>
        </is>
      </c>
      <c r="G109" t="inlineStr">
        <is>
          <t>VARBERG</t>
        </is>
      </c>
      <c r="H109" t="inlineStr">
        <is>
          <t>Övriga statliga verk och myndigheter</t>
        </is>
      </c>
      <c r="I109" t="n">
        <v>0.7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6647-2024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45341</v>
      </c>
      <c r="E110" s="1" t="n">
        <v>46322</v>
      </c>
      <c r="F110" t="inlineStr">
        <is>
          <t>HALLANDS LÄN</t>
        </is>
      </c>
      <c r="G110" t="inlineStr">
        <is>
          <t>VARBERG</t>
        </is>
      </c>
      <c r="I110" t="n">
        <v>3.6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31316-2022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44774</v>
      </c>
      <c r="E111" s="1" t="n">
        <v>46322</v>
      </c>
      <c r="F111" t="inlineStr">
        <is>
          <t>HALLANDS LÄN</t>
        </is>
      </c>
      <c r="G111" t="inlineStr">
        <is>
          <t>VARBERG</t>
        </is>
      </c>
      <c r="I111" t="n">
        <v>3.9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25242-2023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45086</v>
      </c>
      <c r="E112" s="1" t="n">
        <v>46322</v>
      </c>
      <c r="F112" t="inlineStr">
        <is>
          <t>HALLANDS LÄN</t>
        </is>
      </c>
      <c r="G112" t="inlineStr">
        <is>
          <t>VARBERG</t>
        </is>
      </c>
      <c r="I112" t="n">
        <v>2.2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46939-2025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45929</v>
      </c>
      <c r="E113" s="1" t="n">
        <v>46322</v>
      </c>
      <c r="F113" t="inlineStr">
        <is>
          <t>HALLANDS LÄN</t>
        </is>
      </c>
      <c r="G113" t="inlineStr">
        <is>
          <t>VARBERG</t>
        </is>
      </c>
      <c r="I113" t="n">
        <v>3.2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48019-2025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45932</v>
      </c>
      <c r="E114" s="1" t="n">
        <v>46322</v>
      </c>
      <c r="F114" t="inlineStr">
        <is>
          <t>HALLANDS LÄN</t>
        </is>
      </c>
      <c r="G114" t="inlineStr">
        <is>
          <t>VARBERG</t>
        </is>
      </c>
      <c r="I114" t="n">
        <v>1.3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2464-2024</t>
        </is>
      </c>
      <c r="B115" t="inlineStr">
        <is>
          <t>avverkningsanmälan</t>
        </is>
      </c>
      <c r="C115" t="inlineStr">
        <is>
          <t>Avverkning för annat ändamål</t>
        </is>
      </c>
      <c r="D115" s="1" t="n">
        <v>45313</v>
      </c>
      <c r="E115" s="1" t="n">
        <v>46322</v>
      </c>
      <c r="F115" t="inlineStr">
        <is>
          <t>HALLANDS LÄN</t>
        </is>
      </c>
      <c r="G115" t="inlineStr">
        <is>
          <t>VARBERG</t>
        </is>
      </c>
      <c r="I115" t="n">
        <v>0.9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13717-2025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45737</v>
      </c>
      <c r="E116" s="1" t="n">
        <v>46322</v>
      </c>
      <c r="F116" t="inlineStr">
        <is>
          <t>HALLANDS LÄN</t>
        </is>
      </c>
      <c r="G116" t="inlineStr">
        <is>
          <t>VARBERG</t>
        </is>
      </c>
      <c r="I116" t="n">
        <v>4.2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48027-2025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45932</v>
      </c>
      <c r="E117" s="1" t="n">
        <v>46322</v>
      </c>
      <c r="F117" t="inlineStr">
        <is>
          <t>HALLANDS LÄN</t>
        </is>
      </c>
      <c r="G117" t="inlineStr">
        <is>
          <t>VARBERG</t>
        </is>
      </c>
      <c r="I117" t="n">
        <v>2.6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16739-2025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45754</v>
      </c>
      <c r="E118" s="1" t="n">
        <v>46322</v>
      </c>
      <c r="F118" t="inlineStr">
        <is>
          <t>HALLANDS LÄN</t>
        </is>
      </c>
      <c r="G118" t="inlineStr">
        <is>
          <t>VARBERG</t>
        </is>
      </c>
      <c r="I118" t="n">
        <v>1.7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27099-2026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46188</v>
      </c>
      <c r="E119" s="1" t="n">
        <v>46322</v>
      </c>
      <c r="F119" t="inlineStr">
        <is>
          <t>HALLANDS LÄN</t>
        </is>
      </c>
      <c r="G119" t="inlineStr">
        <is>
          <t>VARBERG</t>
        </is>
      </c>
      <c r="I119" t="n">
        <v>4.3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59344-2024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45637</v>
      </c>
      <c r="E120" s="1" t="n">
        <v>46322</v>
      </c>
      <c r="F120" t="inlineStr">
        <is>
          <t>HALLANDS LÄN</t>
        </is>
      </c>
      <c r="G120" t="inlineStr">
        <is>
          <t>VARBERG</t>
        </is>
      </c>
      <c r="I120" t="n">
        <v>3.1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49200-2025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45938</v>
      </c>
      <c r="E121" s="1" t="n">
        <v>46322</v>
      </c>
      <c r="F121" t="inlineStr">
        <is>
          <t>HALLANDS LÄN</t>
        </is>
      </c>
      <c r="G121" t="inlineStr">
        <is>
          <t>VARBERG</t>
        </is>
      </c>
      <c r="I121" t="n">
        <v>1.6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52325-2024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45609</v>
      </c>
      <c r="E122" s="1" t="n">
        <v>46322</v>
      </c>
      <c r="F122" t="inlineStr">
        <is>
          <t>HALLANDS LÄN</t>
        </is>
      </c>
      <c r="G122" t="inlineStr">
        <is>
          <t>VARBERG</t>
        </is>
      </c>
      <c r="I122" t="n">
        <v>2.6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27021-2022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44740</v>
      </c>
      <c r="E123" s="1" t="n">
        <v>46322</v>
      </c>
      <c r="F123" t="inlineStr">
        <is>
          <t>HALLANDS LÄN</t>
        </is>
      </c>
      <c r="G123" t="inlineStr">
        <is>
          <t>VARBERG</t>
        </is>
      </c>
      <c r="I123" t="n">
        <v>5.3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725-2024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45300</v>
      </c>
      <c r="E124" s="1" t="n">
        <v>46322</v>
      </c>
      <c r="F124" t="inlineStr">
        <is>
          <t>HALLANDS LÄN</t>
        </is>
      </c>
      <c r="G124" t="inlineStr">
        <is>
          <t>VARBERG</t>
        </is>
      </c>
      <c r="I124" t="n">
        <v>0.6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14538-2025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45741</v>
      </c>
      <c r="E125" s="1" t="n">
        <v>46322</v>
      </c>
      <c r="F125" t="inlineStr">
        <is>
          <t>HALLANDS LÄN</t>
        </is>
      </c>
      <c r="G125" t="inlineStr">
        <is>
          <t>VARBERG</t>
        </is>
      </c>
      <c r="I125" t="n">
        <v>0.6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10466-2025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45720</v>
      </c>
      <c r="E126" s="1" t="n">
        <v>46322</v>
      </c>
      <c r="F126" t="inlineStr">
        <is>
          <t>HALLANDS LÄN</t>
        </is>
      </c>
      <c r="G126" t="inlineStr">
        <is>
          <t>VARBERG</t>
        </is>
      </c>
      <c r="I126" t="n">
        <v>0.5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46782-2024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45583</v>
      </c>
      <c r="E127" s="1" t="n">
        <v>46322</v>
      </c>
      <c r="F127" t="inlineStr">
        <is>
          <t>HALLANDS LÄN</t>
        </is>
      </c>
      <c r="G127" t="inlineStr">
        <is>
          <t>VARBERG</t>
        </is>
      </c>
      <c r="I127" t="n">
        <v>10.9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50465-2025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45945</v>
      </c>
      <c r="E128" s="1" t="n">
        <v>46322</v>
      </c>
      <c r="F128" t="inlineStr">
        <is>
          <t>HALLANDS LÄN</t>
        </is>
      </c>
      <c r="G128" t="inlineStr">
        <is>
          <t>VARBERG</t>
        </is>
      </c>
      <c r="I128" t="n">
        <v>1.1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50490-2025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45945</v>
      </c>
      <c r="E129" s="1" t="n">
        <v>46322</v>
      </c>
      <c r="F129" t="inlineStr">
        <is>
          <t>HALLANDS LÄN</t>
        </is>
      </c>
      <c r="G129" t="inlineStr">
        <is>
          <t>VARBERG</t>
        </is>
      </c>
      <c r="I129" t="n">
        <v>0.7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50456-2025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45945</v>
      </c>
      <c r="E130" s="1" t="n">
        <v>46322</v>
      </c>
      <c r="F130" t="inlineStr">
        <is>
          <t>HALLANDS LÄN</t>
        </is>
      </c>
      <c r="G130" t="inlineStr">
        <is>
          <t>VARBERG</t>
        </is>
      </c>
      <c r="I130" t="n">
        <v>1.8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27615-2026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46190</v>
      </c>
      <c r="E131" s="1" t="n">
        <v>46322</v>
      </c>
      <c r="F131" t="inlineStr">
        <is>
          <t>HALLANDS LÄN</t>
        </is>
      </c>
      <c r="G131" t="inlineStr">
        <is>
          <t>VARBERG</t>
        </is>
      </c>
      <c r="I131" t="n">
        <v>1.7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33461-2023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45131</v>
      </c>
      <c r="E132" s="1" t="n">
        <v>46322</v>
      </c>
      <c r="F132" t="inlineStr">
        <is>
          <t>HALLANDS LÄN</t>
        </is>
      </c>
      <c r="G132" t="inlineStr">
        <is>
          <t>VARBERG</t>
        </is>
      </c>
      <c r="I132" t="n">
        <v>1.3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18329-2025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45762</v>
      </c>
      <c r="E133" s="1" t="n">
        <v>46322</v>
      </c>
      <c r="F133" t="inlineStr">
        <is>
          <t>HALLANDS LÄN</t>
        </is>
      </c>
      <c r="G133" t="inlineStr">
        <is>
          <t>VARBERG</t>
        </is>
      </c>
      <c r="I133" t="n">
        <v>3.7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11524-2025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45727</v>
      </c>
      <c r="E134" s="1" t="n">
        <v>46322</v>
      </c>
      <c r="F134" t="inlineStr">
        <is>
          <t>HALLANDS LÄN</t>
        </is>
      </c>
      <c r="G134" t="inlineStr">
        <is>
          <t>VARBERG</t>
        </is>
      </c>
      <c r="I134" t="n">
        <v>0.9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6486-2023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44966</v>
      </c>
      <c r="E135" s="1" t="n">
        <v>46322</v>
      </c>
      <c r="F135" t="inlineStr">
        <is>
          <t>HALLANDS LÄN</t>
        </is>
      </c>
      <c r="G135" t="inlineStr">
        <is>
          <t>VARBERG</t>
        </is>
      </c>
      <c r="I135" t="n">
        <v>1.9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14856-2025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45743</v>
      </c>
      <c r="E136" s="1" t="n">
        <v>46322</v>
      </c>
      <c r="F136" t="inlineStr">
        <is>
          <t>HALLANDS LÄN</t>
        </is>
      </c>
      <c r="G136" t="inlineStr">
        <is>
          <t>VARBERG</t>
        </is>
      </c>
      <c r="I136" t="n">
        <v>2.1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52074-2025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45952</v>
      </c>
      <c r="E137" s="1" t="n">
        <v>46322</v>
      </c>
      <c r="F137" t="inlineStr">
        <is>
          <t>HALLANDS LÄN</t>
        </is>
      </c>
      <c r="G137" t="inlineStr">
        <is>
          <t>VARBERG</t>
        </is>
      </c>
      <c r="H137" t="inlineStr">
        <is>
          <t>Kyrkan</t>
        </is>
      </c>
      <c r="I137" t="n">
        <v>8.5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2029-2025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45672</v>
      </c>
      <c r="E138" s="1" t="n">
        <v>46322</v>
      </c>
      <c r="F138" t="inlineStr">
        <is>
          <t>HALLANDS LÄN</t>
        </is>
      </c>
      <c r="G138" t="inlineStr">
        <is>
          <t>VARBERG</t>
        </is>
      </c>
      <c r="I138" t="n">
        <v>3.6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52595-2025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45954</v>
      </c>
      <c r="E139" s="1" t="n">
        <v>46322</v>
      </c>
      <c r="F139" t="inlineStr">
        <is>
          <t>HALLANDS LÄN</t>
        </is>
      </c>
      <c r="G139" t="inlineStr">
        <is>
          <t>VARBERG</t>
        </is>
      </c>
      <c r="H139" t="inlineStr">
        <is>
          <t>Kyrkan</t>
        </is>
      </c>
      <c r="I139" t="n">
        <v>3.1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5994-2024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45336</v>
      </c>
      <c r="E140" s="1" t="n">
        <v>46322</v>
      </c>
      <c r="F140" t="inlineStr">
        <is>
          <t>HALLANDS LÄN</t>
        </is>
      </c>
      <c r="G140" t="inlineStr">
        <is>
          <t>VARBERG</t>
        </is>
      </c>
      <c r="I140" t="n">
        <v>3.7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27655-2026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46190</v>
      </c>
      <c r="E141" s="1" t="n">
        <v>46322</v>
      </c>
      <c r="F141" t="inlineStr">
        <is>
          <t>HALLANDS LÄN</t>
        </is>
      </c>
      <c r="G141" t="inlineStr">
        <is>
          <t>VARBERG</t>
        </is>
      </c>
      <c r="I141" t="n">
        <v>1.9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928-2025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45665</v>
      </c>
      <c r="E142" s="1" t="n">
        <v>46322</v>
      </c>
      <c r="F142" t="inlineStr">
        <is>
          <t>HALLANDS LÄN</t>
        </is>
      </c>
      <c r="G142" t="inlineStr">
        <is>
          <t>VARBERG</t>
        </is>
      </c>
      <c r="I142" t="n">
        <v>3.1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57562-2022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44896</v>
      </c>
      <c r="E143" s="1" t="n">
        <v>46322</v>
      </c>
      <c r="F143" t="inlineStr">
        <is>
          <t>HALLANDS LÄN</t>
        </is>
      </c>
      <c r="G143" t="inlineStr">
        <is>
          <t>VARBERG</t>
        </is>
      </c>
      <c r="I143" t="n">
        <v>4.5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23886-2024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45455</v>
      </c>
      <c r="E144" s="1" t="n">
        <v>46322</v>
      </c>
      <c r="F144" t="inlineStr">
        <is>
          <t>HALLANDS LÄN</t>
        </is>
      </c>
      <c r="G144" t="inlineStr">
        <is>
          <t>VARBERG</t>
        </is>
      </c>
      <c r="H144" t="inlineStr">
        <is>
          <t>Kyrkan</t>
        </is>
      </c>
      <c r="I144" t="n">
        <v>0.4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53669-2025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45960</v>
      </c>
      <c r="E145" s="1" t="n">
        <v>46322</v>
      </c>
      <c r="F145" t="inlineStr">
        <is>
          <t>HALLANDS LÄN</t>
        </is>
      </c>
      <c r="G145" t="inlineStr">
        <is>
          <t>VARBERG</t>
        </is>
      </c>
      <c r="I145" t="n">
        <v>5.8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53535-2025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45960</v>
      </c>
      <c r="E146" s="1" t="n">
        <v>46322</v>
      </c>
      <c r="F146" t="inlineStr">
        <is>
          <t>HALLANDS LÄN</t>
        </is>
      </c>
      <c r="G146" t="inlineStr">
        <is>
          <t>VARBERG</t>
        </is>
      </c>
      <c r="I146" t="n">
        <v>1.7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52975-2022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44875</v>
      </c>
      <c r="E147" s="1" t="n">
        <v>46322</v>
      </c>
      <c r="F147" t="inlineStr">
        <is>
          <t>HALLANDS LÄN</t>
        </is>
      </c>
      <c r="G147" t="inlineStr">
        <is>
          <t>VARBERG</t>
        </is>
      </c>
      <c r="I147" t="n">
        <v>4.2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53547-2025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45960</v>
      </c>
      <c r="E148" s="1" t="n">
        <v>46322</v>
      </c>
      <c r="F148" t="inlineStr">
        <is>
          <t>HALLANDS LÄN</t>
        </is>
      </c>
      <c r="G148" t="inlineStr">
        <is>
          <t>VARBERG</t>
        </is>
      </c>
      <c r="I148" t="n">
        <v>1.2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44788-2024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45574</v>
      </c>
      <c r="E149" s="1" t="n">
        <v>46322</v>
      </c>
      <c r="F149" t="inlineStr">
        <is>
          <t>HALLANDS LÄN</t>
        </is>
      </c>
      <c r="G149" t="inlineStr">
        <is>
          <t>VARBERG</t>
        </is>
      </c>
      <c r="I149" t="n">
        <v>1.7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15914-2025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45749</v>
      </c>
      <c r="E150" s="1" t="n">
        <v>46322</v>
      </c>
      <c r="F150" t="inlineStr">
        <is>
          <t>HALLANDS LÄN</t>
        </is>
      </c>
      <c r="G150" t="inlineStr">
        <is>
          <t>VARBERG</t>
        </is>
      </c>
      <c r="I150" t="n">
        <v>0.7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13782-2022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44649</v>
      </c>
      <c r="E151" s="1" t="n">
        <v>46322</v>
      </c>
      <c r="F151" t="inlineStr">
        <is>
          <t>HALLANDS LÄN</t>
        </is>
      </c>
      <c r="G151" t="inlineStr">
        <is>
          <t>VARBERG</t>
        </is>
      </c>
      <c r="I151" t="n">
        <v>1.5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55319-2025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45971</v>
      </c>
      <c r="E152" s="1" t="n">
        <v>46322</v>
      </c>
      <c r="F152" t="inlineStr">
        <is>
          <t>HALLANDS LÄN</t>
        </is>
      </c>
      <c r="G152" t="inlineStr">
        <is>
          <t>VARBERG</t>
        </is>
      </c>
      <c r="I152" t="n">
        <v>1.1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41769-2024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45561</v>
      </c>
      <c r="E153" s="1" t="n">
        <v>46322</v>
      </c>
      <c r="F153" t="inlineStr">
        <is>
          <t>HALLANDS LÄN</t>
        </is>
      </c>
      <c r="G153" t="inlineStr">
        <is>
          <t>VARBERG</t>
        </is>
      </c>
      <c r="I153" t="n">
        <v>0.9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29889-2024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45487</v>
      </c>
      <c r="E154" s="1" t="n">
        <v>46322</v>
      </c>
      <c r="F154" t="inlineStr">
        <is>
          <t>HALLANDS LÄN</t>
        </is>
      </c>
      <c r="G154" t="inlineStr">
        <is>
          <t>VARBERG</t>
        </is>
      </c>
      <c r="I154" t="n">
        <v>2.8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23366-2025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45791</v>
      </c>
      <c r="E155" s="1" t="n">
        <v>46322</v>
      </c>
      <c r="F155" t="inlineStr">
        <is>
          <t>HALLANDS LÄN</t>
        </is>
      </c>
      <c r="G155" t="inlineStr">
        <is>
          <t>VARBERG</t>
        </is>
      </c>
      <c r="I155" t="n">
        <v>0.7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23359-2025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45791</v>
      </c>
      <c r="E156" s="1" t="n">
        <v>46322</v>
      </c>
      <c r="F156" t="inlineStr">
        <is>
          <t>HALLANDS LÄN</t>
        </is>
      </c>
      <c r="G156" t="inlineStr">
        <is>
          <t>VARBERG</t>
        </is>
      </c>
      <c r="I156" t="n">
        <v>1.3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57237-2025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45979</v>
      </c>
      <c r="E157" s="1" t="n">
        <v>46322</v>
      </c>
      <c r="F157" t="inlineStr">
        <is>
          <t>HALLANDS LÄN</t>
        </is>
      </c>
      <c r="G157" t="inlineStr">
        <is>
          <t>VARBERG</t>
        </is>
      </c>
      <c r="I157" t="n">
        <v>5.7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23365-2025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45791</v>
      </c>
      <c r="E158" s="1" t="n">
        <v>46322</v>
      </c>
      <c r="F158" t="inlineStr">
        <is>
          <t>HALLANDS LÄN</t>
        </is>
      </c>
      <c r="G158" t="inlineStr">
        <is>
          <t>VARBERG</t>
        </is>
      </c>
      <c r="I158" t="n">
        <v>0.9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56920-2025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45978</v>
      </c>
      <c r="E159" s="1" t="n">
        <v>46322</v>
      </c>
      <c r="F159" t="inlineStr">
        <is>
          <t>HALLANDS LÄN</t>
        </is>
      </c>
      <c r="G159" t="inlineStr">
        <is>
          <t>VARBERG</t>
        </is>
      </c>
      <c r="I159" t="n">
        <v>3.1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57684-2025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45980</v>
      </c>
      <c r="E160" s="1" t="n">
        <v>46322</v>
      </c>
      <c r="F160" t="inlineStr">
        <is>
          <t>HALLANDS LÄN</t>
        </is>
      </c>
      <c r="G160" t="inlineStr">
        <is>
          <t>VARBERG</t>
        </is>
      </c>
      <c r="I160" t="n">
        <v>5.9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56967-2022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44894</v>
      </c>
      <c r="E161" s="1" t="n">
        <v>46322</v>
      </c>
      <c r="F161" t="inlineStr">
        <is>
          <t>HALLANDS LÄN</t>
        </is>
      </c>
      <c r="G161" t="inlineStr">
        <is>
          <t>VARBERG</t>
        </is>
      </c>
      <c r="I161" t="n">
        <v>1.1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12299-2024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45378</v>
      </c>
      <c r="E162" s="1" t="n">
        <v>46322</v>
      </c>
      <c r="F162" t="inlineStr">
        <is>
          <t>HALLANDS LÄN</t>
        </is>
      </c>
      <c r="G162" t="inlineStr">
        <is>
          <t>VARBERG</t>
        </is>
      </c>
      <c r="I162" t="n">
        <v>2.3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44793-2024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45574</v>
      </c>
      <c r="E163" s="1" t="n">
        <v>46322</v>
      </c>
      <c r="F163" t="inlineStr">
        <is>
          <t>HALLANDS LÄN</t>
        </is>
      </c>
      <c r="G163" t="inlineStr">
        <is>
          <t>VARBERG</t>
        </is>
      </c>
      <c r="I163" t="n">
        <v>1.1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19375-2025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45769</v>
      </c>
      <c r="E164" s="1" t="n">
        <v>46322</v>
      </c>
      <c r="F164" t="inlineStr">
        <is>
          <t>HALLANDS LÄN</t>
        </is>
      </c>
      <c r="G164" t="inlineStr">
        <is>
          <t>VARBERG</t>
        </is>
      </c>
      <c r="I164" t="n">
        <v>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28272-2026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46196</v>
      </c>
      <c r="E165" s="1" t="n">
        <v>46322</v>
      </c>
      <c r="F165" t="inlineStr">
        <is>
          <t>HALLANDS LÄN</t>
        </is>
      </c>
      <c r="G165" t="inlineStr">
        <is>
          <t>VARBERG</t>
        </is>
      </c>
      <c r="I165" t="n">
        <v>0.5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23392-2025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45791</v>
      </c>
      <c r="E166" s="1" t="n">
        <v>46322</v>
      </c>
      <c r="F166" t="inlineStr">
        <is>
          <t>HALLANDS LÄN</t>
        </is>
      </c>
      <c r="G166" t="inlineStr">
        <is>
          <t>VARBERG</t>
        </is>
      </c>
      <c r="I166" t="n">
        <v>3.7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58425-2025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45985</v>
      </c>
      <c r="E167" s="1" t="n">
        <v>46322</v>
      </c>
      <c r="F167" t="inlineStr">
        <is>
          <t>HALLANDS LÄN</t>
        </is>
      </c>
      <c r="G167" t="inlineStr">
        <is>
          <t>VARBERG</t>
        </is>
      </c>
      <c r="I167" t="n">
        <v>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58722-2025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45986</v>
      </c>
      <c r="E168" s="1" t="n">
        <v>46322</v>
      </c>
      <c r="F168" t="inlineStr">
        <is>
          <t>HALLANDS LÄN</t>
        </is>
      </c>
      <c r="G168" t="inlineStr">
        <is>
          <t>VARBERG</t>
        </is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28263-2026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46196</v>
      </c>
      <c r="E169" s="1" t="n">
        <v>46322</v>
      </c>
      <c r="F169" t="inlineStr">
        <is>
          <t>HALLANDS LÄN</t>
        </is>
      </c>
      <c r="G169" t="inlineStr">
        <is>
          <t>VARBERG</t>
        </is>
      </c>
      <c r="I169" t="n">
        <v>7.8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28280-2026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46196</v>
      </c>
      <c r="E170" s="1" t="n">
        <v>46322</v>
      </c>
      <c r="F170" t="inlineStr">
        <is>
          <t>HALLANDS LÄN</t>
        </is>
      </c>
      <c r="G170" t="inlineStr">
        <is>
          <t>VARBERG</t>
        </is>
      </c>
      <c r="I170" t="n">
        <v>1.7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13825-2022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44649</v>
      </c>
      <c r="E171" s="1" t="n">
        <v>46322</v>
      </c>
      <c r="F171" t="inlineStr">
        <is>
          <t>HALLANDS LÄN</t>
        </is>
      </c>
      <c r="G171" t="inlineStr">
        <is>
          <t>VARBERG</t>
        </is>
      </c>
      <c r="I171" t="n">
        <v>1.4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967-2023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44935</v>
      </c>
      <c r="E172" s="1" t="n">
        <v>46322</v>
      </c>
      <c r="F172" t="inlineStr">
        <is>
          <t>HALLANDS LÄN</t>
        </is>
      </c>
      <c r="G172" t="inlineStr">
        <is>
          <t>VARBERG</t>
        </is>
      </c>
      <c r="I172" t="n">
        <v>0.8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9465-2023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44981</v>
      </c>
      <c r="E173" s="1" t="n">
        <v>46322</v>
      </c>
      <c r="F173" t="inlineStr">
        <is>
          <t>HALLANDS LÄN</t>
        </is>
      </c>
      <c r="G173" t="inlineStr">
        <is>
          <t>VARBERG</t>
        </is>
      </c>
      <c r="I173" t="n">
        <v>9.9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59108-2025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45988</v>
      </c>
      <c r="E174" s="1" t="n">
        <v>46322</v>
      </c>
      <c r="F174" t="inlineStr">
        <is>
          <t>HALLANDS LÄN</t>
        </is>
      </c>
      <c r="G174" t="inlineStr">
        <is>
          <t>VARBERG</t>
        </is>
      </c>
      <c r="H174" t="inlineStr">
        <is>
          <t>Övriga statliga verk och myndigheter</t>
        </is>
      </c>
      <c r="I174" t="n">
        <v>0.6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43037-2023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45182</v>
      </c>
      <c r="E175" s="1" t="n">
        <v>46322</v>
      </c>
      <c r="F175" t="inlineStr">
        <is>
          <t>HALLANDS LÄN</t>
        </is>
      </c>
      <c r="G175" t="inlineStr">
        <is>
          <t>VARBERG</t>
        </is>
      </c>
      <c r="I175" t="n">
        <v>3.2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6008-2024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45336</v>
      </c>
      <c r="E176" s="1" t="n">
        <v>46322</v>
      </c>
      <c r="F176" t="inlineStr">
        <is>
          <t>HALLANDS LÄN</t>
        </is>
      </c>
      <c r="G176" t="inlineStr">
        <is>
          <t>VARBERG</t>
        </is>
      </c>
      <c r="I176" t="n">
        <v>4.9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26496-2024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45469</v>
      </c>
      <c r="E177" s="1" t="n">
        <v>46322</v>
      </c>
      <c r="F177" t="inlineStr">
        <is>
          <t>HALLANDS LÄN</t>
        </is>
      </c>
      <c r="G177" t="inlineStr">
        <is>
          <t>VARBERG</t>
        </is>
      </c>
      <c r="I177" t="n">
        <v>0.4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60207-2025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45994</v>
      </c>
      <c r="E178" s="1" t="n">
        <v>46322</v>
      </c>
      <c r="F178" t="inlineStr">
        <is>
          <t>HALLANDS LÄN</t>
        </is>
      </c>
      <c r="G178" t="inlineStr">
        <is>
          <t>VARBERG</t>
        </is>
      </c>
      <c r="I178" t="n">
        <v>8.5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60209-2025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45994</v>
      </c>
      <c r="E179" s="1" t="n">
        <v>46322</v>
      </c>
      <c r="F179" t="inlineStr">
        <is>
          <t>HALLANDS LÄN</t>
        </is>
      </c>
      <c r="G179" t="inlineStr">
        <is>
          <t>VARBERG</t>
        </is>
      </c>
      <c r="I179" t="n">
        <v>3.6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60212-2025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45994</v>
      </c>
      <c r="E180" s="1" t="n">
        <v>46322</v>
      </c>
      <c r="F180" t="inlineStr">
        <is>
          <t>HALLANDS LÄN</t>
        </is>
      </c>
      <c r="G180" t="inlineStr">
        <is>
          <t>VARBERG</t>
        </is>
      </c>
      <c r="I180" t="n">
        <v>1.7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37065-2024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45539</v>
      </c>
      <c r="E181" s="1" t="n">
        <v>46322</v>
      </c>
      <c r="F181" t="inlineStr">
        <is>
          <t>HALLANDS LÄN</t>
        </is>
      </c>
      <c r="G181" t="inlineStr">
        <is>
          <t>VARBERG</t>
        </is>
      </c>
      <c r="I181" t="n">
        <v>1.7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25872-2025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45804</v>
      </c>
      <c r="E182" s="1" t="n">
        <v>46322</v>
      </c>
      <c r="F182" t="inlineStr">
        <is>
          <t>HALLANDS LÄN</t>
        </is>
      </c>
      <c r="G182" t="inlineStr">
        <is>
          <t>VARBERG</t>
        </is>
      </c>
      <c r="I182" t="n">
        <v>4.8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26117-2025</t>
        </is>
      </c>
      <c r="B183" t="inlineStr">
        <is>
          <t>avverkningsanmälan</t>
        </is>
      </c>
      <c r="C183" t="inlineStr">
        <is>
          <t>Avverkning för annat ändamål</t>
        </is>
      </c>
      <c r="D183" s="1" t="n">
        <v>45805</v>
      </c>
      <c r="E183" s="1" t="n">
        <v>46322</v>
      </c>
      <c r="F183" t="inlineStr">
        <is>
          <t>HALLANDS LÄN</t>
        </is>
      </c>
      <c r="G183" t="inlineStr">
        <is>
          <t>VARBERG</t>
        </is>
      </c>
      <c r="H183" t="inlineStr">
        <is>
          <t>Kommuner</t>
        </is>
      </c>
      <c r="I183" t="n">
        <v>0.8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25805-2025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45804</v>
      </c>
      <c r="E184" s="1" t="n">
        <v>46322</v>
      </c>
      <c r="F184" t="inlineStr">
        <is>
          <t>HALLANDS LÄN</t>
        </is>
      </c>
      <c r="G184" t="inlineStr">
        <is>
          <t>VARBERG</t>
        </is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4082-2024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45323</v>
      </c>
      <c r="E185" s="1" t="n">
        <v>46322</v>
      </c>
      <c r="F185" t="inlineStr">
        <is>
          <t>HALLANDS LÄN</t>
        </is>
      </c>
      <c r="G185" t="inlineStr">
        <is>
          <t>VARBERG</t>
        </is>
      </c>
      <c r="I185" t="n">
        <v>1.6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2407-2024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45310</v>
      </c>
      <c r="E186" s="1" t="n">
        <v>46322</v>
      </c>
      <c r="F186" t="inlineStr">
        <is>
          <t>HALLANDS LÄN</t>
        </is>
      </c>
      <c r="G186" t="inlineStr">
        <is>
          <t>VARBERG</t>
        </is>
      </c>
      <c r="I186" t="n">
        <v>8.5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50342-2024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45600</v>
      </c>
      <c r="E187" s="1" t="n">
        <v>46322</v>
      </c>
      <c r="F187" t="inlineStr">
        <is>
          <t>HALLANDS LÄN</t>
        </is>
      </c>
      <c r="G187" t="inlineStr">
        <is>
          <t>VARBERG</t>
        </is>
      </c>
      <c r="I187" t="n">
        <v>1.5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61845-2025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46003</v>
      </c>
      <c r="E188" s="1" t="n">
        <v>46322</v>
      </c>
      <c r="F188" t="inlineStr">
        <is>
          <t>HALLANDS LÄN</t>
        </is>
      </c>
      <c r="G188" t="inlineStr">
        <is>
          <t>VARBERG</t>
        </is>
      </c>
      <c r="I188" t="n">
        <v>6.1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28092-2024</t>
        </is>
      </c>
      <c r="B189" t="inlineStr">
        <is>
          <t>avverkningsanmälan</t>
        </is>
      </c>
      <c r="C189" t="inlineStr">
        <is>
          <t>Avverkning för annat ändamål</t>
        </is>
      </c>
      <c r="D189" s="1" t="n">
        <v>45476</v>
      </c>
      <c r="E189" s="1" t="n">
        <v>46322</v>
      </c>
      <c r="F189" t="inlineStr">
        <is>
          <t>HALLANDS LÄN</t>
        </is>
      </c>
      <c r="G189" t="inlineStr">
        <is>
          <t>VARBERG</t>
        </is>
      </c>
      <c r="I189" t="n">
        <v>1.6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8249-2024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45352</v>
      </c>
      <c r="E190" s="1" t="n">
        <v>46322</v>
      </c>
      <c r="F190" t="inlineStr">
        <is>
          <t>HALLANDS LÄN</t>
        </is>
      </c>
      <c r="G190" t="inlineStr">
        <is>
          <t>VARBERG</t>
        </is>
      </c>
      <c r="I190" t="n">
        <v>1.2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71841-2021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44543</v>
      </c>
      <c r="E191" s="1" t="n">
        <v>46322</v>
      </c>
      <c r="F191" t="inlineStr">
        <is>
          <t>HALLANDS LÄN</t>
        </is>
      </c>
      <c r="G191" t="inlineStr">
        <is>
          <t>VARBERG</t>
        </is>
      </c>
      <c r="I191" t="n">
        <v>2.8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15413-2024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45401</v>
      </c>
      <c r="E192" s="1" t="n">
        <v>46322</v>
      </c>
      <c r="F192" t="inlineStr">
        <is>
          <t>HALLANDS LÄN</t>
        </is>
      </c>
      <c r="G192" t="inlineStr">
        <is>
          <t>VARBERG</t>
        </is>
      </c>
      <c r="I192" t="n">
        <v>3.3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61848-2025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46003</v>
      </c>
      <c r="E193" s="1" t="n">
        <v>46322</v>
      </c>
      <c r="F193" t="inlineStr">
        <is>
          <t>HALLANDS LÄN</t>
        </is>
      </c>
      <c r="G193" t="inlineStr">
        <is>
          <t>VARBERG</t>
        </is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27524-2025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45813</v>
      </c>
      <c r="E194" s="1" t="n">
        <v>46322</v>
      </c>
      <c r="F194" t="inlineStr">
        <is>
          <t>HALLANDS LÄN</t>
        </is>
      </c>
      <c r="G194" t="inlineStr">
        <is>
          <t>VARBERG</t>
        </is>
      </c>
      <c r="I194" t="n">
        <v>1.4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29209-2026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46202</v>
      </c>
      <c r="E195" s="1" t="n">
        <v>46322</v>
      </c>
      <c r="F195" t="inlineStr">
        <is>
          <t>HALLANDS LÄN</t>
        </is>
      </c>
      <c r="G195" t="inlineStr">
        <is>
          <t>VARBERG</t>
        </is>
      </c>
      <c r="I195" t="n">
        <v>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62353-2025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46007</v>
      </c>
      <c r="E196" s="1" t="n">
        <v>46322</v>
      </c>
      <c r="F196" t="inlineStr">
        <is>
          <t>HALLANDS LÄN</t>
        </is>
      </c>
      <c r="G196" t="inlineStr">
        <is>
          <t>VARBERG</t>
        </is>
      </c>
      <c r="I196" t="n">
        <v>1.1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62354-2025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46007</v>
      </c>
      <c r="E197" s="1" t="n">
        <v>46322</v>
      </c>
      <c r="F197" t="inlineStr">
        <is>
          <t>HALLANDS LÄN</t>
        </is>
      </c>
      <c r="G197" t="inlineStr">
        <is>
          <t>VARBERG</t>
        </is>
      </c>
      <c r="I197" t="n">
        <v>1.1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3538-2024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45320</v>
      </c>
      <c r="E198" s="1" t="n">
        <v>46322</v>
      </c>
      <c r="F198" t="inlineStr">
        <is>
          <t>HALLANDS LÄN</t>
        </is>
      </c>
      <c r="G198" t="inlineStr">
        <is>
          <t>VARBERG</t>
        </is>
      </c>
      <c r="H198" t="inlineStr">
        <is>
          <t>Övriga statliga verk och myndigheter</t>
        </is>
      </c>
      <c r="I198" t="n">
        <v>7.7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50341-2024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45600</v>
      </c>
      <c r="E199" s="1" t="n">
        <v>46322</v>
      </c>
      <c r="F199" t="inlineStr">
        <is>
          <t>HALLANDS LÄN</t>
        </is>
      </c>
      <c r="G199" t="inlineStr">
        <is>
          <t>VARBERG</t>
        </is>
      </c>
      <c r="I199" t="n">
        <v>0.5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62356-2025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46007</v>
      </c>
      <c r="E200" s="1" t="n">
        <v>46322</v>
      </c>
      <c r="F200" t="inlineStr">
        <is>
          <t>HALLANDS LÄN</t>
        </is>
      </c>
      <c r="G200" t="inlineStr">
        <is>
          <t>VARBERG</t>
        </is>
      </c>
      <c r="I200" t="n">
        <v>1.1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62553-2025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46007</v>
      </c>
      <c r="E201" s="1" t="n">
        <v>46322</v>
      </c>
      <c r="F201" t="inlineStr">
        <is>
          <t>HALLANDS LÄN</t>
        </is>
      </c>
      <c r="G201" t="inlineStr">
        <is>
          <t>VARBERG</t>
        </is>
      </c>
      <c r="I201" t="n">
        <v>6.8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14536-2025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45741</v>
      </c>
      <c r="E202" s="1" t="n">
        <v>46322</v>
      </c>
      <c r="F202" t="inlineStr">
        <is>
          <t>HALLANDS LÄN</t>
        </is>
      </c>
      <c r="G202" t="inlineStr">
        <is>
          <t>VARBERG</t>
        </is>
      </c>
      <c r="I202" t="n">
        <v>0.7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62608-2025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46008</v>
      </c>
      <c r="E203" s="1" t="n">
        <v>46322</v>
      </c>
      <c r="F203" t="inlineStr">
        <is>
          <t>HALLANDS LÄN</t>
        </is>
      </c>
      <c r="G203" t="inlineStr">
        <is>
          <t>VARBERG</t>
        </is>
      </c>
      <c r="I203" t="n">
        <v>0.6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16755-2024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45411</v>
      </c>
      <c r="E204" s="1" t="n">
        <v>46322</v>
      </c>
      <c r="F204" t="inlineStr">
        <is>
          <t>HALLANDS LÄN</t>
        </is>
      </c>
      <c r="G204" t="inlineStr">
        <is>
          <t>VARBERG</t>
        </is>
      </c>
      <c r="I204" t="n">
        <v>2.8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29630-2025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45825</v>
      </c>
      <c r="E205" s="1" t="n">
        <v>46322</v>
      </c>
      <c r="F205" t="inlineStr">
        <is>
          <t>HALLANDS LÄN</t>
        </is>
      </c>
      <c r="G205" t="inlineStr">
        <is>
          <t>VARBERG</t>
        </is>
      </c>
      <c r="I205" t="n">
        <v>4.8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29318-2025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45824</v>
      </c>
      <c r="E206" s="1" t="n">
        <v>46322</v>
      </c>
      <c r="F206" t="inlineStr">
        <is>
          <t>HALLANDS LÄN</t>
        </is>
      </c>
      <c r="G206" t="inlineStr">
        <is>
          <t>VARBERG</t>
        </is>
      </c>
      <c r="I206" t="n">
        <v>5.1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29634-2025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45825</v>
      </c>
      <c r="E207" s="1" t="n">
        <v>46322</v>
      </c>
      <c r="F207" t="inlineStr">
        <is>
          <t>HALLANDS LÄN</t>
        </is>
      </c>
      <c r="G207" t="inlineStr">
        <is>
          <t>VARBERG</t>
        </is>
      </c>
      <c r="I207" t="n">
        <v>2.2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29364-2025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45824</v>
      </c>
      <c r="E208" s="1" t="n">
        <v>46322</v>
      </c>
      <c r="F208" t="inlineStr">
        <is>
          <t>HALLANDS LÄN</t>
        </is>
      </c>
      <c r="G208" t="inlineStr">
        <is>
          <t>VARBERG</t>
        </is>
      </c>
      <c r="I208" t="n">
        <v>0.9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20645-2023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45058</v>
      </c>
      <c r="E209" s="1" t="n">
        <v>46322</v>
      </c>
      <c r="F209" t="inlineStr">
        <is>
          <t>HALLANDS LÄN</t>
        </is>
      </c>
      <c r="G209" t="inlineStr">
        <is>
          <t>VARBERG</t>
        </is>
      </c>
      <c r="I209" t="n">
        <v>0.6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1784-2022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44574</v>
      </c>
      <c r="E210" s="1" t="n">
        <v>46322</v>
      </c>
      <c r="F210" t="inlineStr">
        <is>
          <t>HALLANDS LÄN</t>
        </is>
      </c>
      <c r="G210" t="inlineStr">
        <is>
          <t>VARBERG</t>
        </is>
      </c>
      <c r="I210" t="n">
        <v>3.8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13713-2023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45007</v>
      </c>
      <c r="E211" s="1" t="n">
        <v>46322</v>
      </c>
      <c r="F211" t="inlineStr">
        <is>
          <t>HALLANDS LÄN</t>
        </is>
      </c>
      <c r="G211" t="inlineStr">
        <is>
          <t>VARBERG</t>
        </is>
      </c>
      <c r="I211" t="n">
        <v>0.9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14219-2025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45740</v>
      </c>
      <c r="E212" s="1" t="n">
        <v>46322</v>
      </c>
      <c r="F212" t="inlineStr">
        <is>
          <t>HALLANDS LÄN</t>
        </is>
      </c>
      <c r="G212" t="inlineStr">
        <is>
          <t>VARBERG</t>
        </is>
      </c>
      <c r="I212" t="n">
        <v>1.2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8263-2023</t>
        </is>
      </c>
      <c r="B213" t="inlineStr">
        <is>
          <t>avverkningsanmälan</t>
        </is>
      </c>
      <c r="C213" t="inlineStr">
        <is>
          <t>Avverkning för annat ändamål</t>
        </is>
      </c>
      <c r="D213" s="1" t="n">
        <v>44974</v>
      </c>
      <c r="E213" s="1" t="n">
        <v>46322</v>
      </c>
      <c r="F213" t="inlineStr">
        <is>
          <t>HALLANDS LÄN</t>
        </is>
      </c>
      <c r="G213" t="inlineStr">
        <is>
          <t>VARBERG</t>
        </is>
      </c>
      <c r="I213" t="n">
        <v>0.7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13600-2025</t>
        </is>
      </c>
      <c r="B214" t="inlineStr">
        <is>
          <t>avverkningsanmälan</t>
        </is>
      </c>
      <c r="C214" t="inlineStr">
        <is>
          <t>Avverkning för annat ändamål</t>
        </is>
      </c>
      <c r="D214" s="1" t="n">
        <v>45736</v>
      </c>
      <c r="E214" s="1" t="n">
        <v>46322</v>
      </c>
      <c r="F214" t="inlineStr">
        <is>
          <t>HALLANDS LÄN</t>
        </is>
      </c>
      <c r="G214" t="inlineStr">
        <is>
          <t>VARBERG</t>
        </is>
      </c>
      <c r="I214" t="n">
        <v>0.5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63271-2025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46010</v>
      </c>
      <c r="E215" s="1" t="n">
        <v>46322</v>
      </c>
      <c r="F215" t="inlineStr">
        <is>
          <t>HALLANDS LÄN</t>
        </is>
      </c>
      <c r="G215" t="inlineStr">
        <is>
          <t>VARBERG</t>
        </is>
      </c>
      <c r="I215" t="n">
        <v>2.4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63630-2025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46014</v>
      </c>
      <c r="E216" s="1" t="n">
        <v>46322</v>
      </c>
      <c r="F216" t="inlineStr">
        <is>
          <t>HALLANDS LÄN</t>
        </is>
      </c>
      <c r="G216" t="inlineStr">
        <is>
          <t>VARBERG</t>
        </is>
      </c>
      <c r="I216" t="n">
        <v>0.9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63634-2025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46014</v>
      </c>
      <c r="E217" s="1" t="n">
        <v>46322</v>
      </c>
      <c r="F217" t="inlineStr">
        <is>
          <t>HALLANDS LÄN</t>
        </is>
      </c>
      <c r="G217" t="inlineStr">
        <is>
          <t>VARBERG</t>
        </is>
      </c>
      <c r="I217" t="n">
        <v>1.6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63637-2025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46014</v>
      </c>
      <c r="E218" s="1" t="n">
        <v>46322</v>
      </c>
      <c r="F218" t="inlineStr">
        <is>
          <t>HALLANDS LÄN</t>
        </is>
      </c>
      <c r="G218" t="inlineStr">
        <is>
          <t>VARBERG</t>
        </is>
      </c>
      <c r="I218" t="n">
        <v>1.1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63638-2025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46014</v>
      </c>
      <c r="E219" s="1" t="n">
        <v>46322</v>
      </c>
      <c r="F219" t="inlineStr">
        <is>
          <t>HALLANDS LÄN</t>
        </is>
      </c>
      <c r="G219" t="inlineStr">
        <is>
          <t>VARBERG</t>
        </is>
      </c>
      <c r="I219" t="n">
        <v>2.5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63632-2025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46014</v>
      </c>
      <c r="E220" s="1" t="n">
        <v>46322</v>
      </c>
      <c r="F220" t="inlineStr">
        <is>
          <t>HALLANDS LÄN</t>
        </is>
      </c>
      <c r="G220" t="inlineStr">
        <is>
          <t>VARBERG</t>
        </is>
      </c>
      <c r="I220" t="n">
        <v>5.7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62612-2025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46008</v>
      </c>
      <c r="E221" s="1" t="n">
        <v>46322</v>
      </c>
      <c r="F221" t="inlineStr">
        <is>
          <t>HALLANDS LÄN</t>
        </is>
      </c>
      <c r="G221" t="inlineStr">
        <is>
          <t>VARBERG</t>
        </is>
      </c>
      <c r="I221" t="n">
        <v>5.5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10229-2023</t>
        </is>
      </c>
      <c r="B222" t="inlineStr">
        <is>
          <t>avverkningsanmälan</t>
        </is>
      </c>
      <c r="C222" t="inlineStr">
        <is>
          <t>Avverkning för annat ändamål</t>
        </is>
      </c>
      <c r="D222" s="1" t="n">
        <v>44980</v>
      </c>
      <c r="E222" s="1" t="n">
        <v>46322</v>
      </c>
      <c r="F222" t="inlineStr">
        <is>
          <t>HALLANDS LÄN</t>
        </is>
      </c>
      <c r="G222" t="inlineStr">
        <is>
          <t>VARBERG</t>
        </is>
      </c>
      <c r="H222" t="inlineStr">
        <is>
          <t>Övriga statliga verk och myndigheter</t>
        </is>
      </c>
      <c r="I222" t="n">
        <v>0.2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13828-2022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44649</v>
      </c>
      <c r="E223" s="1" t="n">
        <v>46322</v>
      </c>
      <c r="F223" t="inlineStr">
        <is>
          <t>HALLANDS LÄN</t>
        </is>
      </c>
      <c r="G223" t="inlineStr">
        <is>
          <t>VARBERG</t>
        </is>
      </c>
      <c r="I223" t="n">
        <v>2.8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29208-2026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46202</v>
      </c>
      <c r="E224" s="1" t="n">
        <v>46322</v>
      </c>
      <c r="F224" t="inlineStr">
        <is>
          <t>HALLANDS LÄN</t>
        </is>
      </c>
      <c r="G224" t="inlineStr">
        <is>
          <t>VARBERG</t>
        </is>
      </c>
      <c r="I224" t="n">
        <v>4.3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48679-2023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45208</v>
      </c>
      <c r="E225" s="1" t="n">
        <v>46322</v>
      </c>
      <c r="F225" t="inlineStr">
        <is>
          <t>HALLANDS LÄN</t>
        </is>
      </c>
      <c r="G225" t="inlineStr">
        <is>
          <t>VARBERG</t>
        </is>
      </c>
      <c r="I225" t="n">
        <v>1.7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32979-2025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45839</v>
      </c>
      <c r="E226" s="1" t="n">
        <v>46322</v>
      </c>
      <c r="F226" t="inlineStr">
        <is>
          <t>HALLANDS LÄN</t>
        </is>
      </c>
      <c r="G226" t="inlineStr">
        <is>
          <t>VARBERG</t>
        </is>
      </c>
      <c r="I226" t="n">
        <v>0.7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40-2026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46024</v>
      </c>
      <c r="E227" s="1" t="n">
        <v>46322</v>
      </c>
      <c r="F227" t="inlineStr">
        <is>
          <t>HALLANDS LÄN</t>
        </is>
      </c>
      <c r="G227" t="inlineStr">
        <is>
          <t>VARBERG</t>
        </is>
      </c>
      <c r="I227" t="n">
        <v>1.8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32978-2025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45839</v>
      </c>
      <c r="E228" s="1" t="n">
        <v>46322</v>
      </c>
      <c r="F228" t="inlineStr">
        <is>
          <t>HALLANDS LÄN</t>
        </is>
      </c>
      <c r="G228" t="inlineStr">
        <is>
          <t>VARBERG</t>
        </is>
      </c>
      <c r="I228" t="n">
        <v>6.2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20624-2026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46141</v>
      </c>
      <c r="E229" s="1" t="n">
        <v>46322</v>
      </c>
      <c r="F229" t="inlineStr">
        <is>
          <t>HALLANDS LÄN</t>
        </is>
      </c>
      <c r="G229" t="inlineStr">
        <is>
          <t>VARBERG</t>
        </is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28869-2026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46199</v>
      </c>
      <c r="E230" s="1" t="n">
        <v>46322</v>
      </c>
      <c r="F230" t="inlineStr">
        <is>
          <t>HALLANDS LÄN</t>
        </is>
      </c>
      <c r="G230" t="inlineStr">
        <is>
          <t>VARBERG</t>
        </is>
      </c>
      <c r="I230" t="n">
        <v>2.4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19837-2025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45771</v>
      </c>
      <c r="E231" s="1" t="n">
        <v>46322</v>
      </c>
      <c r="F231" t="inlineStr">
        <is>
          <t>HALLANDS LÄN</t>
        </is>
      </c>
      <c r="G231" t="inlineStr">
        <is>
          <t>VARBERG</t>
        </is>
      </c>
      <c r="I231" t="n">
        <v>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55038-2022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44886</v>
      </c>
      <c r="E232" s="1" t="n">
        <v>46322</v>
      </c>
      <c r="F232" t="inlineStr">
        <is>
          <t>HALLANDS LÄN</t>
        </is>
      </c>
      <c r="G232" t="inlineStr">
        <is>
          <t>VARBERG</t>
        </is>
      </c>
      <c r="I232" t="n">
        <v>1.5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34949-2025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45849</v>
      </c>
      <c r="E233" s="1" t="n">
        <v>46322</v>
      </c>
      <c r="F233" t="inlineStr">
        <is>
          <t>HALLANDS LÄN</t>
        </is>
      </c>
      <c r="G233" t="inlineStr">
        <is>
          <t>VARBERG</t>
        </is>
      </c>
      <c r="I233" t="n">
        <v>0.8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13430-2025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45736</v>
      </c>
      <c r="E234" s="1" t="n">
        <v>46322</v>
      </c>
      <c r="F234" t="inlineStr">
        <is>
          <t>HALLANDS LÄN</t>
        </is>
      </c>
      <c r="G234" t="inlineStr">
        <is>
          <t>VARBERG</t>
        </is>
      </c>
      <c r="I234" t="n">
        <v>1.4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35116-2025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45852</v>
      </c>
      <c r="E235" s="1" t="n">
        <v>46322</v>
      </c>
      <c r="F235" t="inlineStr">
        <is>
          <t>HALLANDS LÄN</t>
        </is>
      </c>
      <c r="G235" t="inlineStr">
        <is>
          <t>VARBERG</t>
        </is>
      </c>
      <c r="I235" t="n">
        <v>2.1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35124-2025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45852</v>
      </c>
      <c r="E236" s="1" t="n">
        <v>46322</v>
      </c>
      <c r="F236" t="inlineStr">
        <is>
          <t>HALLANDS LÄN</t>
        </is>
      </c>
      <c r="G236" t="inlineStr">
        <is>
          <t>VARBERG</t>
        </is>
      </c>
      <c r="I236" t="n">
        <v>2.5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35126-2025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45852</v>
      </c>
      <c r="E237" s="1" t="n">
        <v>46322</v>
      </c>
      <c r="F237" t="inlineStr">
        <is>
          <t>HALLANDS LÄN</t>
        </is>
      </c>
      <c r="G237" t="inlineStr">
        <is>
          <t>VARBERG</t>
        </is>
      </c>
      <c r="I237" t="n">
        <v>1.1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694-2025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45665</v>
      </c>
      <c r="E238" s="1" t="n">
        <v>46322</v>
      </c>
      <c r="F238" t="inlineStr">
        <is>
          <t>HALLANDS LÄN</t>
        </is>
      </c>
      <c r="G238" t="inlineStr">
        <is>
          <t>VARBERG</t>
        </is>
      </c>
      <c r="I238" t="n">
        <v>0.6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2997-2024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45315</v>
      </c>
      <c r="E239" s="1" t="n">
        <v>46322</v>
      </c>
      <c r="F239" t="inlineStr">
        <is>
          <t>HALLANDS LÄN</t>
        </is>
      </c>
      <c r="G239" t="inlineStr">
        <is>
          <t>VARBERG</t>
        </is>
      </c>
      <c r="I239" t="n">
        <v>3.4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28851-2026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46198</v>
      </c>
      <c r="E240" s="1" t="n">
        <v>46322</v>
      </c>
      <c r="F240" t="inlineStr">
        <is>
          <t>HALLANDS LÄN</t>
        </is>
      </c>
      <c r="G240" t="inlineStr">
        <is>
          <t>VARBERG</t>
        </is>
      </c>
      <c r="I240" t="n">
        <v>4.1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29709-2026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46204</v>
      </c>
      <c r="E241" s="1" t="n">
        <v>46322</v>
      </c>
      <c r="F241" t="inlineStr">
        <is>
          <t>HALLANDS LÄN</t>
        </is>
      </c>
      <c r="G241" t="inlineStr">
        <is>
          <t>VARBERG</t>
        </is>
      </c>
      <c r="I241" t="n">
        <v>1.9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21992-2022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44711</v>
      </c>
      <c r="E242" s="1" t="n">
        <v>46322</v>
      </c>
      <c r="F242" t="inlineStr">
        <is>
          <t>HALLANDS LÄN</t>
        </is>
      </c>
      <c r="G242" t="inlineStr">
        <is>
          <t>VARBERG</t>
        </is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46877-2023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45200</v>
      </c>
      <c r="E243" s="1" t="n">
        <v>46322</v>
      </c>
      <c r="F243" t="inlineStr">
        <is>
          <t>HALLANDS LÄN</t>
        </is>
      </c>
      <c r="G243" t="inlineStr">
        <is>
          <t>VARBERG</t>
        </is>
      </c>
      <c r="I243" t="n">
        <v>8.800000000000001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41864-2022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44829</v>
      </c>
      <c r="E244" s="1" t="n">
        <v>46322</v>
      </c>
      <c r="F244" t="inlineStr">
        <is>
          <t>HALLANDS LÄN</t>
        </is>
      </c>
      <c r="G244" t="inlineStr">
        <is>
          <t>VARBERG</t>
        </is>
      </c>
      <c r="I244" t="n">
        <v>2.6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39464-2022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44818</v>
      </c>
      <c r="E245" s="1" t="n">
        <v>46322</v>
      </c>
      <c r="F245" t="inlineStr">
        <is>
          <t>HALLANDS LÄN</t>
        </is>
      </c>
      <c r="G245" t="inlineStr">
        <is>
          <t>VARBERG</t>
        </is>
      </c>
      <c r="I245" t="n">
        <v>2.5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42047-2024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45561</v>
      </c>
      <c r="E246" s="1" t="n">
        <v>46322</v>
      </c>
      <c r="F246" t="inlineStr">
        <is>
          <t>HALLANDS LÄN</t>
        </is>
      </c>
      <c r="G246" t="inlineStr">
        <is>
          <t>VARBERG</t>
        </is>
      </c>
      <c r="I246" t="n">
        <v>0.9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72361-2021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44545</v>
      </c>
      <c r="E247" s="1" t="n">
        <v>46322</v>
      </c>
      <c r="F247" t="inlineStr">
        <is>
          <t>HALLANDS LÄN</t>
        </is>
      </c>
      <c r="G247" t="inlineStr">
        <is>
          <t>VARBERG</t>
        </is>
      </c>
      <c r="I247" t="n">
        <v>2.5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30910-2022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44767</v>
      </c>
      <c r="E248" s="1" t="n">
        <v>46322</v>
      </c>
      <c r="F248" t="inlineStr">
        <is>
          <t>HALLANDS LÄN</t>
        </is>
      </c>
      <c r="G248" t="inlineStr">
        <is>
          <t>VARBERG</t>
        </is>
      </c>
      <c r="I248" t="n">
        <v>7.4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30917-2022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44767</v>
      </c>
      <c r="E249" s="1" t="n">
        <v>46322</v>
      </c>
      <c r="F249" t="inlineStr">
        <is>
          <t>HALLANDS LÄN</t>
        </is>
      </c>
      <c r="G249" t="inlineStr">
        <is>
          <t>VARBERG</t>
        </is>
      </c>
      <c r="I249" t="n">
        <v>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9572-2023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44982</v>
      </c>
      <c r="E250" s="1" t="n">
        <v>46322</v>
      </c>
      <c r="F250" t="inlineStr">
        <is>
          <t>HALLANDS LÄN</t>
        </is>
      </c>
      <c r="G250" t="inlineStr">
        <is>
          <t>VARBERG</t>
        </is>
      </c>
      <c r="I250" t="n">
        <v>1.9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10428-2024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45365</v>
      </c>
      <c r="E251" s="1" t="n">
        <v>46322</v>
      </c>
      <c r="F251" t="inlineStr">
        <is>
          <t>HALLANDS LÄN</t>
        </is>
      </c>
      <c r="G251" t="inlineStr">
        <is>
          <t>VARBERG</t>
        </is>
      </c>
      <c r="I251" t="n">
        <v>1.8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62791-2023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45271</v>
      </c>
      <c r="E252" s="1" t="n">
        <v>46322</v>
      </c>
      <c r="F252" t="inlineStr">
        <is>
          <t>HALLANDS LÄN</t>
        </is>
      </c>
      <c r="G252" t="inlineStr">
        <is>
          <t>VARBERG</t>
        </is>
      </c>
      <c r="I252" t="n">
        <v>1.4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3437-2023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44949</v>
      </c>
      <c r="E253" s="1" t="n">
        <v>46322</v>
      </c>
      <c r="F253" t="inlineStr">
        <is>
          <t>HALLANDS LÄN</t>
        </is>
      </c>
      <c r="G253" t="inlineStr">
        <is>
          <t>VARBERG</t>
        </is>
      </c>
      <c r="I253" t="n">
        <v>6.5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62655-2023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45271</v>
      </c>
      <c r="E254" s="1" t="n">
        <v>46322</v>
      </c>
      <c r="F254" t="inlineStr">
        <is>
          <t>HALLANDS LÄN</t>
        </is>
      </c>
      <c r="G254" t="inlineStr">
        <is>
          <t>VARBERG</t>
        </is>
      </c>
      <c r="I254" t="n">
        <v>2.3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2532-2024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45313</v>
      </c>
      <c r="E255" s="1" t="n">
        <v>46322</v>
      </c>
      <c r="F255" t="inlineStr">
        <is>
          <t>HALLANDS LÄN</t>
        </is>
      </c>
      <c r="G255" t="inlineStr">
        <is>
          <t>VARBERG</t>
        </is>
      </c>
      <c r="I255" t="n">
        <v>1.8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9108-2025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45713</v>
      </c>
      <c r="E256" s="1" t="n">
        <v>46322</v>
      </c>
      <c r="F256" t="inlineStr">
        <is>
          <t>HALLANDS LÄN</t>
        </is>
      </c>
      <c r="G256" t="inlineStr">
        <is>
          <t>VARBERG</t>
        </is>
      </c>
      <c r="I256" t="n">
        <v>1.5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49760-2024</t>
        </is>
      </c>
      <c r="B257" t="inlineStr">
        <is>
          <t>avverkningsanmälan</t>
        </is>
      </c>
      <c r="C257" t="inlineStr">
        <is>
          <t>Avverkning för annat ändamål</t>
        </is>
      </c>
      <c r="D257" s="1" t="n">
        <v>45597</v>
      </c>
      <c r="E257" s="1" t="n">
        <v>46322</v>
      </c>
      <c r="F257" t="inlineStr">
        <is>
          <t>HALLANDS LÄN</t>
        </is>
      </c>
      <c r="G257" t="inlineStr">
        <is>
          <t>VARBERG</t>
        </is>
      </c>
      <c r="I257" t="n">
        <v>0.5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55705-2024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45622</v>
      </c>
      <c r="E258" s="1" t="n">
        <v>46322</v>
      </c>
      <c r="F258" t="inlineStr">
        <is>
          <t>HALLANDS LÄN</t>
        </is>
      </c>
      <c r="G258" t="inlineStr">
        <is>
          <t>VARBERG</t>
        </is>
      </c>
      <c r="I258" t="n">
        <v>1.5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36812-2025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45873</v>
      </c>
      <c r="E259" s="1" t="n">
        <v>46322</v>
      </c>
      <c r="F259" t="inlineStr">
        <is>
          <t>HALLANDS LÄN</t>
        </is>
      </c>
      <c r="G259" t="inlineStr">
        <is>
          <t>VARBERG</t>
        </is>
      </c>
      <c r="I259" t="n">
        <v>2.5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4544-2026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46047</v>
      </c>
      <c r="E260" s="1" t="n">
        <v>46322</v>
      </c>
      <c r="F260" t="inlineStr">
        <is>
          <t>HALLANDS LÄN</t>
        </is>
      </c>
      <c r="G260" t="inlineStr">
        <is>
          <t>VARBERG</t>
        </is>
      </c>
      <c r="I260" t="n">
        <v>0.8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42566-2022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44831</v>
      </c>
      <c r="E261" s="1" t="n">
        <v>46322</v>
      </c>
      <c r="F261" t="inlineStr">
        <is>
          <t>HALLANDS LÄN</t>
        </is>
      </c>
      <c r="G261" t="inlineStr">
        <is>
          <t>VARBERG</t>
        </is>
      </c>
      <c r="I261" t="n">
        <v>5.8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46578-2024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45582</v>
      </c>
      <c r="E262" s="1" t="n">
        <v>46322</v>
      </c>
      <c r="F262" t="inlineStr">
        <is>
          <t>HALLANDS LÄN</t>
        </is>
      </c>
      <c r="G262" t="inlineStr">
        <is>
          <t>VARBERG</t>
        </is>
      </c>
      <c r="I262" t="n">
        <v>1.5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4545-2026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46047</v>
      </c>
      <c r="E263" s="1" t="n">
        <v>46322</v>
      </c>
      <c r="F263" t="inlineStr">
        <is>
          <t>HALLANDS LÄN</t>
        </is>
      </c>
      <c r="G263" t="inlineStr">
        <is>
          <t>VARBERG</t>
        </is>
      </c>
      <c r="I263" t="n">
        <v>2.1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11523-2024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45372</v>
      </c>
      <c r="E264" s="1" t="n">
        <v>46322</v>
      </c>
      <c r="F264" t="inlineStr">
        <is>
          <t>HALLANDS LÄN</t>
        </is>
      </c>
      <c r="G264" t="inlineStr">
        <is>
          <t>VARBERG</t>
        </is>
      </c>
      <c r="I264" t="n">
        <v>1.6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37365-2025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45877</v>
      </c>
      <c r="E265" s="1" t="n">
        <v>46322</v>
      </c>
      <c r="F265" t="inlineStr">
        <is>
          <t>HALLANDS LÄN</t>
        </is>
      </c>
      <c r="G265" t="inlineStr">
        <is>
          <t>VARBERG</t>
        </is>
      </c>
      <c r="I265" t="n">
        <v>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24839-2023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45085</v>
      </c>
      <c r="E266" s="1" t="n">
        <v>46322</v>
      </c>
      <c r="F266" t="inlineStr">
        <is>
          <t>HALLANDS LÄN</t>
        </is>
      </c>
      <c r="G266" t="inlineStr">
        <is>
          <t>VARBERG</t>
        </is>
      </c>
      <c r="I266" t="n">
        <v>1.8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6306-2026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46055</v>
      </c>
      <c r="E267" s="1" t="n">
        <v>46322</v>
      </c>
      <c r="F267" t="inlineStr">
        <is>
          <t>HALLANDS LÄN</t>
        </is>
      </c>
      <c r="G267" t="inlineStr">
        <is>
          <t>VARBERG</t>
        </is>
      </c>
      <c r="I267" t="n">
        <v>2.4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37594-2023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45159</v>
      </c>
      <c r="E268" s="1" t="n">
        <v>46322</v>
      </c>
      <c r="F268" t="inlineStr">
        <is>
          <t>HALLANDS LÄN</t>
        </is>
      </c>
      <c r="G268" t="inlineStr">
        <is>
          <t>VARBERG</t>
        </is>
      </c>
      <c r="I268" t="n">
        <v>1.9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6308-2026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46055</v>
      </c>
      <c r="E269" s="1" t="n">
        <v>46322</v>
      </c>
      <c r="F269" t="inlineStr">
        <is>
          <t>HALLANDS LÄN</t>
        </is>
      </c>
      <c r="G269" t="inlineStr">
        <is>
          <t>VARBERG</t>
        </is>
      </c>
      <c r="I269" t="n">
        <v>1.2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19893-2025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45771</v>
      </c>
      <c r="E270" s="1" t="n">
        <v>46322</v>
      </c>
      <c r="F270" t="inlineStr">
        <is>
          <t>HALLANDS LÄN</t>
        </is>
      </c>
      <c r="G270" t="inlineStr">
        <is>
          <t>VARBERG</t>
        </is>
      </c>
      <c r="I270" t="n">
        <v>3.9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30566-2026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46210</v>
      </c>
      <c r="E271" s="1" t="n">
        <v>46322</v>
      </c>
      <c r="F271" t="inlineStr">
        <is>
          <t>HALLANDS LÄN</t>
        </is>
      </c>
      <c r="G271" t="inlineStr">
        <is>
          <t>VARBERG</t>
        </is>
      </c>
      <c r="I271" t="n">
        <v>1.2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63667-2023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45275</v>
      </c>
      <c r="E272" s="1" t="n">
        <v>46322</v>
      </c>
      <c r="F272" t="inlineStr">
        <is>
          <t>HALLANDS LÄN</t>
        </is>
      </c>
      <c r="G272" t="inlineStr">
        <is>
          <t>VARBERG</t>
        </is>
      </c>
      <c r="I272" t="n">
        <v>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30525-2026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46210</v>
      </c>
      <c r="E273" s="1" t="n">
        <v>46322</v>
      </c>
      <c r="F273" t="inlineStr">
        <is>
          <t>HALLANDS LÄN</t>
        </is>
      </c>
      <c r="G273" t="inlineStr">
        <is>
          <t>VARBERG</t>
        </is>
      </c>
      <c r="I273" t="n">
        <v>2.6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24961-2023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45085</v>
      </c>
      <c r="E274" s="1" t="n">
        <v>46322</v>
      </c>
      <c r="F274" t="inlineStr">
        <is>
          <t>HALLANDS LÄN</t>
        </is>
      </c>
      <c r="G274" t="inlineStr">
        <is>
          <t>VARBERG</t>
        </is>
      </c>
      <c r="I274" t="n">
        <v>2.5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30574-2026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46210</v>
      </c>
      <c r="E275" s="1" t="n">
        <v>46322</v>
      </c>
      <c r="F275" t="inlineStr">
        <is>
          <t>HALLANDS LÄN</t>
        </is>
      </c>
      <c r="G275" t="inlineStr">
        <is>
          <t>VARBERG</t>
        </is>
      </c>
      <c r="I275" t="n">
        <v>2.9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30577-2026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46210</v>
      </c>
      <c r="E276" s="1" t="n">
        <v>46322</v>
      </c>
      <c r="F276" t="inlineStr">
        <is>
          <t>HALLANDS LÄN</t>
        </is>
      </c>
      <c r="G276" t="inlineStr">
        <is>
          <t>VARBERG</t>
        </is>
      </c>
      <c r="I276" t="n">
        <v>3.3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14577-2025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45742</v>
      </c>
      <c r="E277" s="1" t="n">
        <v>46322</v>
      </c>
      <c r="F277" t="inlineStr">
        <is>
          <t>HALLANDS LÄN</t>
        </is>
      </c>
      <c r="G277" t="inlineStr">
        <is>
          <t>VARBERG</t>
        </is>
      </c>
      <c r="I277" t="n">
        <v>2.4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8380-2026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46064</v>
      </c>
      <c r="E278" s="1" t="n">
        <v>46322</v>
      </c>
      <c r="F278" t="inlineStr">
        <is>
          <t>HALLANDS LÄN</t>
        </is>
      </c>
      <c r="G278" t="inlineStr">
        <is>
          <t>VARBERG</t>
        </is>
      </c>
      <c r="I278" t="n">
        <v>3.8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44441-2024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45574</v>
      </c>
      <c r="E279" s="1" t="n">
        <v>46322</v>
      </c>
      <c r="F279" t="inlineStr">
        <is>
          <t>HALLANDS LÄN</t>
        </is>
      </c>
      <c r="G279" t="inlineStr">
        <is>
          <t>VARBERG</t>
        </is>
      </c>
      <c r="I279" t="n">
        <v>2.1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44223-2025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45915</v>
      </c>
      <c r="E280" s="1" t="n">
        <v>46322</v>
      </c>
      <c r="F280" t="inlineStr">
        <is>
          <t>HALLANDS LÄN</t>
        </is>
      </c>
      <c r="G280" t="inlineStr">
        <is>
          <t>VARBERG</t>
        </is>
      </c>
      <c r="I280" t="n">
        <v>0.8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10169-2024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45364</v>
      </c>
      <c r="E281" s="1" t="n">
        <v>46322</v>
      </c>
      <c r="F281" t="inlineStr">
        <is>
          <t>HALLANDS LÄN</t>
        </is>
      </c>
      <c r="G281" t="inlineStr">
        <is>
          <t>VARBERG</t>
        </is>
      </c>
      <c r="I281" t="n">
        <v>4.9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10170-2024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45364</v>
      </c>
      <c r="E282" s="1" t="n">
        <v>46322</v>
      </c>
      <c r="F282" t="inlineStr">
        <is>
          <t>HALLANDS LÄN</t>
        </is>
      </c>
      <c r="G282" t="inlineStr">
        <is>
          <t>VARBERG</t>
        </is>
      </c>
      <c r="I282" t="n">
        <v>2.6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9614-2024</t>
        </is>
      </c>
      <c r="B283" t="inlineStr">
        <is>
          <t>avverkningsanmälan</t>
        </is>
      </c>
      <c r="C283" t="inlineStr">
        <is>
          <t>Avverkning för annat ändamål</t>
        </is>
      </c>
      <c r="D283" s="1" t="n">
        <v>45361</v>
      </c>
      <c r="E283" s="1" t="n">
        <v>46322</v>
      </c>
      <c r="F283" t="inlineStr">
        <is>
          <t>HALLANDS LÄN</t>
        </is>
      </c>
      <c r="G283" t="inlineStr">
        <is>
          <t>VARBERG</t>
        </is>
      </c>
      <c r="I283" t="n">
        <v>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51932-2024</t>
        </is>
      </c>
      <c r="B284" t="inlineStr">
        <is>
          <t>avverkningsanmälan</t>
        </is>
      </c>
      <c r="C284" t="inlineStr">
        <is>
          <t>Avverkning för annat ändamål</t>
        </is>
      </c>
      <c r="D284" s="1" t="n">
        <v>45607</v>
      </c>
      <c r="E284" s="1" t="n">
        <v>46322</v>
      </c>
      <c r="F284" t="inlineStr">
        <is>
          <t>HALLANDS LÄN</t>
        </is>
      </c>
      <c r="G284" t="inlineStr">
        <is>
          <t>VARBERG</t>
        </is>
      </c>
      <c r="I284" t="n">
        <v>0.9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10186-2022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44622</v>
      </c>
      <c r="E285" s="1" t="n">
        <v>46322</v>
      </c>
      <c r="F285" t="inlineStr">
        <is>
          <t>HALLANDS LÄN</t>
        </is>
      </c>
      <c r="G285" t="inlineStr">
        <is>
          <t>VARBERG</t>
        </is>
      </c>
      <c r="I285" t="n">
        <v>0.9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41629-2022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44827</v>
      </c>
      <c r="E286" s="1" t="n">
        <v>46322</v>
      </c>
      <c r="F286" t="inlineStr">
        <is>
          <t>HALLANDS LÄN</t>
        </is>
      </c>
      <c r="G286" t="inlineStr">
        <is>
          <t>VARBERG</t>
        </is>
      </c>
      <c r="I286" t="n">
        <v>1.2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14042-2024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45392</v>
      </c>
      <c r="E287" s="1" t="n">
        <v>46322</v>
      </c>
      <c r="F287" t="inlineStr">
        <is>
          <t>HALLANDS LÄN</t>
        </is>
      </c>
      <c r="G287" t="inlineStr">
        <is>
          <t>VARBERG</t>
        </is>
      </c>
      <c r="I287" t="n">
        <v>5.5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43681-2022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44837</v>
      </c>
      <c r="E288" s="1" t="n">
        <v>46322</v>
      </c>
      <c r="F288" t="inlineStr">
        <is>
          <t>HALLANDS LÄN</t>
        </is>
      </c>
      <c r="G288" t="inlineStr">
        <is>
          <t>VARBERG</t>
        </is>
      </c>
      <c r="I288" t="n">
        <v>3.8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20702-2024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45436</v>
      </c>
      <c r="E289" s="1" t="n">
        <v>46322</v>
      </c>
      <c r="F289" t="inlineStr">
        <is>
          <t>HALLANDS LÄN</t>
        </is>
      </c>
      <c r="G289" t="inlineStr">
        <is>
          <t>VARBERG</t>
        </is>
      </c>
      <c r="H289" t="inlineStr">
        <is>
          <t>Kyrkan</t>
        </is>
      </c>
      <c r="I289" t="n">
        <v>1.3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58746-2024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45635</v>
      </c>
      <c r="E290" s="1" t="n">
        <v>46322</v>
      </c>
      <c r="F290" t="inlineStr">
        <is>
          <t>HALLANDS LÄN</t>
        </is>
      </c>
      <c r="G290" t="inlineStr">
        <is>
          <t>VARBERG</t>
        </is>
      </c>
      <c r="I290" t="n">
        <v>8.1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51535-2023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45222</v>
      </c>
      <c r="E291" s="1" t="n">
        <v>46322</v>
      </c>
      <c r="F291" t="inlineStr">
        <is>
          <t>HALLANDS LÄN</t>
        </is>
      </c>
      <c r="G291" t="inlineStr">
        <is>
          <t>VARBERG</t>
        </is>
      </c>
      <c r="I291" t="n">
        <v>1.1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5967-2025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45695</v>
      </c>
      <c r="E292" s="1" t="n">
        <v>46322</v>
      </c>
      <c r="F292" t="inlineStr">
        <is>
          <t>HALLANDS LÄN</t>
        </is>
      </c>
      <c r="G292" t="inlineStr">
        <is>
          <t>VARBERG</t>
        </is>
      </c>
      <c r="H292" t="inlineStr">
        <is>
          <t>Kyrkan</t>
        </is>
      </c>
      <c r="I292" t="n">
        <v>2.4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12845-2026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46092</v>
      </c>
      <c r="E293" s="1" t="n">
        <v>46322</v>
      </c>
      <c r="F293" t="inlineStr">
        <is>
          <t>HALLANDS LÄN</t>
        </is>
      </c>
      <c r="G293" t="inlineStr">
        <is>
          <t>VARBERG</t>
        </is>
      </c>
      <c r="I293" t="n">
        <v>6.1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48065-2024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45589</v>
      </c>
      <c r="E294" s="1" t="n">
        <v>46322</v>
      </c>
      <c r="F294" t="inlineStr">
        <is>
          <t>HALLANDS LÄN</t>
        </is>
      </c>
      <c r="G294" t="inlineStr">
        <is>
          <t>VARBERG</t>
        </is>
      </c>
      <c r="I294" t="n">
        <v>1.9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32135-2026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46234</v>
      </c>
      <c r="E295" s="1" t="n">
        <v>46322</v>
      </c>
      <c r="F295" t="inlineStr">
        <is>
          <t>HALLANDS LÄN</t>
        </is>
      </c>
      <c r="G295" t="inlineStr">
        <is>
          <t>VARBERG</t>
        </is>
      </c>
      <c r="I295" t="n">
        <v>1.1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50805-2022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44867</v>
      </c>
      <c r="E296" s="1" t="n">
        <v>46322</v>
      </c>
      <c r="F296" t="inlineStr">
        <is>
          <t>HALLANDS LÄN</t>
        </is>
      </c>
      <c r="G296" t="inlineStr">
        <is>
          <t>VARBERG</t>
        </is>
      </c>
      <c r="I296" t="n">
        <v>1.5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13429-2026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46094</v>
      </c>
      <c r="E297" s="1" t="n">
        <v>46322</v>
      </c>
      <c r="F297" t="inlineStr">
        <is>
          <t>HALLANDS LÄN</t>
        </is>
      </c>
      <c r="G297" t="inlineStr">
        <is>
          <t>VARBERG</t>
        </is>
      </c>
      <c r="I297" t="n">
        <v>1.5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38106-2026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46281</v>
      </c>
      <c r="E298" s="1" t="n">
        <v>46322</v>
      </c>
      <c r="F298" t="inlineStr">
        <is>
          <t>HALLANDS LÄN</t>
        </is>
      </c>
      <c r="G298" t="inlineStr">
        <is>
          <t>VARBERG</t>
        </is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23213-2023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45075</v>
      </c>
      <c r="E299" s="1" t="n">
        <v>46322</v>
      </c>
      <c r="F299" t="inlineStr">
        <is>
          <t>HALLANDS LÄN</t>
        </is>
      </c>
      <c r="G299" t="inlineStr">
        <is>
          <t>VARBERG</t>
        </is>
      </c>
      <c r="I299" t="n">
        <v>0.9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20111-2023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45055</v>
      </c>
      <c r="E300" s="1" t="n">
        <v>46322</v>
      </c>
      <c r="F300" t="inlineStr">
        <is>
          <t>HALLANDS LÄN</t>
        </is>
      </c>
      <c r="G300" t="inlineStr">
        <is>
          <t>VARBERG</t>
        </is>
      </c>
      <c r="I300" t="n">
        <v>5.7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38099-2026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46281</v>
      </c>
      <c r="E301" s="1" t="n">
        <v>46322</v>
      </c>
      <c r="F301" t="inlineStr">
        <is>
          <t>HALLANDS LÄN</t>
        </is>
      </c>
      <c r="G301" t="inlineStr">
        <is>
          <t>VARBERG</t>
        </is>
      </c>
      <c r="I301" t="n">
        <v>2.9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15013-2026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46104</v>
      </c>
      <c r="E302" s="1" t="n">
        <v>46322</v>
      </c>
      <c r="F302" t="inlineStr">
        <is>
          <t>HALLANDS LÄN</t>
        </is>
      </c>
      <c r="G302" t="inlineStr">
        <is>
          <t>VARBERG</t>
        </is>
      </c>
      <c r="I302" t="n">
        <v>1.2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57659-2023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45246</v>
      </c>
      <c r="E303" s="1" t="n">
        <v>46322</v>
      </c>
      <c r="F303" t="inlineStr">
        <is>
          <t>HALLANDS LÄN</t>
        </is>
      </c>
      <c r="G303" t="inlineStr">
        <is>
          <t>VARBERG</t>
        </is>
      </c>
      <c r="I303" t="n">
        <v>3.4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15508-2026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46106</v>
      </c>
      <c r="E304" s="1" t="n">
        <v>46322</v>
      </c>
      <c r="F304" t="inlineStr">
        <is>
          <t>HALLANDS LÄN</t>
        </is>
      </c>
      <c r="G304" t="inlineStr">
        <is>
          <t>VARBERG</t>
        </is>
      </c>
      <c r="I304" t="n">
        <v>1.8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20719-2024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45436</v>
      </c>
      <c r="E305" s="1" t="n">
        <v>46322</v>
      </c>
      <c r="F305" t="inlineStr">
        <is>
          <t>HALLANDS LÄN</t>
        </is>
      </c>
      <c r="G305" t="inlineStr">
        <is>
          <t>VARBERG</t>
        </is>
      </c>
      <c r="H305" t="inlineStr">
        <is>
          <t>Kyrkan</t>
        </is>
      </c>
      <c r="I305" t="n">
        <v>3.2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4598-2024</t>
        </is>
      </c>
      <c r="B306" t="inlineStr">
        <is>
          <t>avverkningsanmälan</t>
        </is>
      </c>
      <c r="C306" t="inlineStr">
        <is>
          <t>Avverkning för annat ändamål</t>
        </is>
      </c>
      <c r="D306" s="1" t="n">
        <v>45328</v>
      </c>
      <c r="E306" s="1" t="n">
        <v>46322</v>
      </c>
      <c r="F306" t="inlineStr">
        <is>
          <t>HALLANDS LÄN</t>
        </is>
      </c>
      <c r="G306" t="inlineStr">
        <is>
          <t>VARBERG</t>
        </is>
      </c>
      <c r="I306" t="n">
        <v>6.7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37974-2026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46280</v>
      </c>
      <c r="E307" s="1" t="n">
        <v>46322</v>
      </c>
      <c r="F307" t="inlineStr">
        <is>
          <t>HALLANDS LÄN</t>
        </is>
      </c>
      <c r="G307" t="inlineStr">
        <is>
          <t>VARBERG</t>
        </is>
      </c>
      <c r="I307" t="n">
        <v>1.8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28855-2022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44749</v>
      </c>
      <c r="E308" s="1" t="n">
        <v>46322</v>
      </c>
      <c r="F308" t="inlineStr">
        <is>
          <t>HALLANDS LÄN</t>
        </is>
      </c>
      <c r="G308" t="inlineStr">
        <is>
          <t>VARBERG</t>
        </is>
      </c>
      <c r="I308" t="n">
        <v>2.3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15416-2026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46106</v>
      </c>
      <c r="E309" s="1" t="n">
        <v>46322</v>
      </c>
      <c r="F309" t="inlineStr">
        <is>
          <t>HALLANDS LÄN</t>
        </is>
      </c>
      <c r="G309" t="inlineStr">
        <is>
          <t>VARBERG</t>
        </is>
      </c>
      <c r="I309" t="n">
        <v>5.3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64203-2023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45279</v>
      </c>
      <c r="E310" s="1" t="n">
        <v>46322</v>
      </c>
      <c r="F310" t="inlineStr">
        <is>
          <t>HALLANDS LÄN</t>
        </is>
      </c>
      <c r="G310" t="inlineStr">
        <is>
          <t>VARBERG</t>
        </is>
      </c>
      <c r="I310" t="n">
        <v>2.1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8989-2022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44615</v>
      </c>
      <c r="E311" s="1" t="n">
        <v>46322</v>
      </c>
      <c r="F311" t="inlineStr">
        <is>
          <t>HALLANDS LÄN</t>
        </is>
      </c>
      <c r="G311" t="inlineStr">
        <is>
          <t>VARBERG</t>
        </is>
      </c>
      <c r="I311" t="n">
        <v>1.3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47478-2024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45587</v>
      </c>
      <c r="E312" s="1" t="n">
        <v>46322</v>
      </c>
      <c r="F312" t="inlineStr">
        <is>
          <t>HALLANDS LÄN</t>
        </is>
      </c>
      <c r="G312" t="inlineStr">
        <is>
          <t>VARBERG</t>
        </is>
      </c>
      <c r="H312" t="inlineStr">
        <is>
          <t>Kyrkan</t>
        </is>
      </c>
      <c r="I312" t="n">
        <v>2.5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17739-2025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45758</v>
      </c>
      <c r="E313" s="1" t="n">
        <v>46322</v>
      </c>
      <c r="F313" t="inlineStr">
        <is>
          <t>HALLANDS LÄN</t>
        </is>
      </c>
      <c r="G313" t="inlineStr">
        <is>
          <t>VARBERG</t>
        </is>
      </c>
      <c r="I313" t="n">
        <v>1.3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25830-2023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45090</v>
      </c>
      <c r="E314" s="1" t="n">
        <v>46322</v>
      </c>
      <c r="F314" t="inlineStr">
        <is>
          <t>HALLANDS LÄN</t>
        </is>
      </c>
      <c r="G314" t="inlineStr">
        <is>
          <t>VARBERG</t>
        </is>
      </c>
      <c r="I314" t="n">
        <v>0.6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32234-2026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46237</v>
      </c>
      <c r="E315" s="1" t="n">
        <v>46322</v>
      </c>
      <c r="F315" t="inlineStr">
        <is>
          <t>HALLANDS LÄN</t>
        </is>
      </c>
      <c r="G315" t="inlineStr">
        <is>
          <t>VARBERG</t>
        </is>
      </c>
      <c r="I315" t="n">
        <v>10.4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64488-2021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44511</v>
      </c>
      <c r="E316" s="1" t="n">
        <v>46322</v>
      </c>
      <c r="F316" t="inlineStr">
        <is>
          <t>HALLANDS LÄN</t>
        </is>
      </c>
      <c r="G316" t="inlineStr">
        <is>
          <t>VARBERG</t>
        </is>
      </c>
      <c r="I316" t="n">
        <v>0.5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17401-2026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46120</v>
      </c>
      <c r="E317" s="1" t="n">
        <v>46322</v>
      </c>
      <c r="F317" t="inlineStr">
        <is>
          <t>HALLANDS LÄN</t>
        </is>
      </c>
      <c r="G317" t="inlineStr">
        <is>
          <t>VARBERG</t>
        </is>
      </c>
      <c r="I317" t="n">
        <v>0.6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15426-2024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45401</v>
      </c>
      <c r="E318" s="1" t="n">
        <v>46322</v>
      </c>
      <c r="F318" t="inlineStr">
        <is>
          <t>HALLANDS LÄN</t>
        </is>
      </c>
      <c r="G318" t="inlineStr">
        <is>
          <t>VARBERG</t>
        </is>
      </c>
      <c r="I318" t="n">
        <v>0.6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15260-2024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45400</v>
      </c>
      <c r="E319" s="1" t="n">
        <v>46322</v>
      </c>
      <c r="F319" t="inlineStr">
        <is>
          <t>HALLANDS LÄN</t>
        </is>
      </c>
      <c r="G319" t="inlineStr">
        <is>
          <t>VARBERG</t>
        </is>
      </c>
      <c r="H319" t="inlineStr">
        <is>
          <t>Kyrkan</t>
        </is>
      </c>
      <c r="I319" t="n">
        <v>6.7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52285-2023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45224</v>
      </c>
      <c r="E320" s="1" t="n">
        <v>46322</v>
      </c>
      <c r="F320" t="inlineStr">
        <is>
          <t>HALLANDS LÄN</t>
        </is>
      </c>
      <c r="G320" t="inlineStr">
        <is>
          <t>VARBERG</t>
        </is>
      </c>
      <c r="I320" t="n">
        <v>2.1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57557-2022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44896</v>
      </c>
      <c r="E321" s="1" t="n">
        <v>46322</v>
      </c>
      <c r="F321" t="inlineStr">
        <is>
          <t>HALLANDS LÄN</t>
        </is>
      </c>
      <c r="G321" t="inlineStr">
        <is>
          <t>VARBERG</t>
        </is>
      </c>
      <c r="I321" t="n">
        <v>5.6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811-2024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45300</v>
      </c>
      <c r="E322" s="1" t="n">
        <v>46322</v>
      </c>
      <c r="F322" t="inlineStr">
        <is>
          <t>HALLANDS LÄN</t>
        </is>
      </c>
      <c r="G322" t="inlineStr">
        <is>
          <t>VARBERG</t>
        </is>
      </c>
      <c r="I322" t="n">
        <v>1.2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32473-2024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45513</v>
      </c>
      <c r="E323" s="1" t="n">
        <v>46322</v>
      </c>
      <c r="F323" t="inlineStr">
        <is>
          <t>HALLANDS LÄN</t>
        </is>
      </c>
      <c r="G323" t="inlineStr">
        <is>
          <t>VARBERG</t>
        </is>
      </c>
      <c r="I323" t="n">
        <v>3.1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968-2023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44935</v>
      </c>
      <c r="E324" s="1" t="n">
        <v>46322</v>
      </c>
      <c r="F324" t="inlineStr">
        <is>
          <t>HALLANDS LÄN</t>
        </is>
      </c>
      <c r="G324" t="inlineStr">
        <is>
          <t>VARBERG</t>
        </is>
      </c>
      <c r="I324" t="n">
        <v>1.8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15315-2022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44659</v>
      </c>
      <c r="E325" s="1" t="n">
        <v>46322</v>
      </c>
      <c r="F325" t="inlineStr">
        <is>
          <t>HALLANDS LÄN</t>
        </is>
      </c>
      <c r="G325" t="inlineStr">
        <is>
          <t>VARBERG</t>
        </is>
      </c>
      <c r="I325" t="n">
        <v>4.2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61075-2023</t>
        </is>
      </c>
      <c r="B326" t="inlineStr">
        <is>
          <t>avverkningsanmälan</t>
        </is>
      </c>
      <c r="C326" t="inlineStr">
        <is>
          <t>Avverkning för annat ändamål</t>
        </is>
      </c>
      <c r="D326" s="1" t="n">
        <v>45261</v>
      </c>
      <c r="E326" s="1" t="n">
        <v>46322</v>
      </c>
      <c r="F326" t="inlineStr">
        <is>
          <t>HALLANDS LÄN</t>
        </is>
      </c>
      <c r="G326" t="inlineStr">
        <is>
          <t>VARBERG</t>
        </is>
      </c>
      <c r="I326" t="n">
        <v>0.6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9819-2022</t>
        </is>
      </c>
      <c r="B327" t="inlineStr">
        <is>
          <t>avverkningsanmälan</t>
        </is>
      </c>
      <c r="C327" t="inlineStr">
        <is>
          <t>Avverkning för annat ändamål</t>
        </is>
      </c>
      <c r="D327" s="1" t="n">
        <v>44620</v>
      </c>
      <c r="E327" s="1" t="n">
        <v>46322</v>
      </c>
      <c r="F327" t="inlineStr">
        <is>
          <t>HALLANDS LÄN</t>
        </is>
      </c>
      <c r="G327" t="inlineStr">
        <is>
          <t>VARBERG</t>
        </is>
      </c>
      <c r="I327" t="n">
        <v>2.3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5597-2022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44595</v>
      </c>
      <c r="E328" s="1" t="n">
        <v>46322</v>
      </c>
      <c r="F328" t="inlineStr">
        <is>
          <t>HALLANDS LÄN</t>
        </is>
      </c>
      <c r="G328" t="inlineStr">
        <is>
          <t>VARBERG</t>
        </is>
      </c>
      <c r="I328" t="n">
        <v>0.6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19130-2026</t>
        </is>
      </c>
      <c r="B329" t="inlineStr">
        <is>
          <t>avverkningsanmälan</t>
        </is>
      </c>
      <c r="C329" t="inlineStr">
        <is>
          <t>Avverkning för annat ändamål</t>
        </is>
      </c>
      <c r="D329" s="1" t="n">
        <v>46132</v>
      </c>
      <c r="E329" s="1" t="n">
        <v>46322</v>
      </c>
      <c r="F329" t="inlineStr">
        <is>
          <t>HALLANDS LÄN</t>
        </is>
      </c>
      <c r="G329" t="inlineStr">
        <is>
          <t>VARBERG</t>
        </is>
      </c>
      <c r="I329" t="n">
        <v>2.3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6803-2023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44967</v>
      </c>
      <c r="E330" s="1" t="n">
        <v>46322</v>
      </c>
      <c r="F330" t="inlineStr">
        <is>
          <t>HALLANDS LÄN</t>
        </is>
      </c>
      <c r="G330" t="inlineStr">
        <is>
          <t>VARBERG</t>
        </is>
      </c>
      <c r="I330" t="n">
        <v>2.4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29890-2024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45487</v>
      </c>
      <c r="E331" s="1" t="n">
        <v>46322</v>
      </c>
      <c r="F331" t="inlineStr">
        <is>
          <t>HALLANDS LÄN</t>
        </is>
      </c>
      <c r="G331" t="inlineStr">
        <is>
          <t>VARBERG</t>
        </is>
      </c>
      <c r="I331" t="n">
        <v>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59297-2022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44904</v>
      </c>
      <c r="E332" s="1" t="n">
        <v>46322</v>
      </c>
      <c r="F332" t="inlineStr">
        <is>
          <t>HALLANDS LÄN</t>
        </is>
      </c>
      <c r="G332" t="inlineStr">
        <is>
          <t>VARBERG</t>
        </is>
      </c>
      <c r="I332" t="n">
        <v>1.1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12743-2022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44641</v>
      </c>
      <c r="E333" s="1" t="n">
        <v>46322</v>
      </c>
      <c r="F333" t="inlineStr">
        <is>
          <t>HALLANDS LÄN</t>
        </is>
      </c>
      <c r="G333" t="inlineStr">
        <is>
          <t>VARBERG</t>
        </is>
      </c>
      <c r="I333" t="n">
        <v>1.3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57657-2023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45246</v>
      </c>
      <c r="E334" s="1" t="n">
        <v>46322</v>
      </c>
      <c r="F334" t="inlineStr">
        <is>
          <t>HALLANDS LÄN</t>
        </is>
      </c>
      <c r="G334" t="inlineStr">
        <is>
          <t>VARBERG</t>
        </is>
      </c>
      <c r="I334" t="n">
        <v>2.9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57660-2023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45246</v>
      </c>
      <c r="E335" s="1" t="n">
        <v>46322</v>
      </c>
      <c r="F335" t="inlineStr">
        <is>
          <t>HALLANDS LÄN</t>
        </is>
      </c>
      <c r="G335" t="inlineStr">
        <is>
          <t>VARBERG</t>
        </is>
      </c>
      <c r="I335" t="n">
        <v>1.2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57667-2023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45246</v>
      </c>
      <c r="E336" s="1" t="n">
        <v>46322</v>
      </c>
      <c r="F336" t="inlineStr">
        <is>
          <t>HALLANDS LÄN</t>
        </is>
      </c>
      <c r="G336" t="inlineStr">
        <is>
          <t>VARBERG</t>
        </is>
      </c>
      <c r="I336" t="n">
        <v>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9349-2024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45359</v>
      </c>
      <c r="E337" s="1" t="n">
        <v>46322</v>
      </c>
      <c r="F337" t="inlineStr">
        <is>
          <t>HALLANDS LÄN</t>
        </is>
      </c>
      <c r="G337" t="inlineStr">
        <is>
          <t>VARBERG</t>
        </is>
      </c>
      <c r="I337" t="n">
        <v>1.4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28843-2023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45104</v>
      </c>
      <c r="E338" s="1" t="n">
        <v>46322</v>
      </c>
      <c r="F338" t="inlineStr">
        <is>
          <t>HALLANDS LÄN</t>
        </is>
      </c>
      <c r="G338" t="inlineStr">
        <is>
          <t>VARBERG</t>
        </is>
      </c>
      <c r="I338" t="n">
        <v>4.4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55813-2024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45623</v>
      </c>
      <c r="E339" s="1" t="n">
        <v>46322</v>
      </c>
      <c r="F339" t="inlineStr">
        <is>
          <t>HALLANDS LÄN</t>
        </is>
      </c>
      <c r="G339" t="inlineStr">
        <is>
          <t>VARBERG</t>
        </is>
      </c>
      <c r="I339" t="n">
        <v>6.3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48768-2024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45593</v>
      </c>
      <c r="E340" s="1" t="n">
        <v>46322</v>
      </c>
      <c r="F340" t="inlineStr">
        <is>
          <t>HALLANDS LÄN</t>
        </is>
      </c>
      <c r="G340" t="inlineStr">
        <is>
          <t>VARBERG</t>
        </is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37971-2022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44811</v>
      </c>
      <c r="E341" s="1" t="n">
        <v>46322</v>
      </c>
      <c r="F341" t="inlineStr">
        <is>
          <t>HALLANDS LÄN</t>
        </is>
      </c>
      <c r="G341" t="inlineStr">
        <is>
          <t>VARBERG</t>
        </is>
      </c>
      <c r="I341" t="n">
        <v>2.2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42498-2025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45905</v>
      </c>
      <c r="E342" s="1" t="n">
        <v>46322</v>
      </c>
      <c r="F342" t="inlineStr">
        <is>
          <t>HALLANDS LÄN</t>
        </is>
      </c>
      <c r="G342" t="inlineStr">
        <is>
          <t>VARBERG</t>
        </is>
      </c>
      <c r="I342" t="n">
        <v>2.9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13081-2025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45734</v>
      </c>
      <c r="E343" s="1" t="n">
        <v>46322</v>
      </c>
      <c r="F343" t="inlineStr">
        <is>
          <t>HALLANDS LÄN</t>
        </is>
      </c>
      <c r="G343" t="inlineStr">
        <is>
          <t>VARBERG</t>
        </is>
      </c>
      <c r="I343" t="n">
        <v>0.5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38755-2026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46286</v>
      </c>
      <c r="E344" s="1" t="n">
        <v>46322</v>
      </c>
      <c r="F344" t="inlineStr">
        <is>
          <t>HALLANDS LÄN</t>
        </is>
      </c>
      <c r="G344" t="inlineStr">
        <is>
          <t>VARBERG</t>
        </is>
      </c>
      <c r="I344" t="n">
        <v>1.5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9925-2025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45717</v>
      </c>
      <c r="E345" s="1" t="n">
        <v>46322</v>
      </c>
      <c r="F345" t="inlineStr">
        <is>
          <t>HALLANDS LÄN</t>
        </is>
      </c>
      <c r="G345" t="inlineStr">
        <is>
          <t>VARBERG</t>
        </is>
      </c>
      <c r="I345" t="n">
        <v>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40062-2024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45554</v>
      </c>
      <c r="E346" s="1" t="n">
        <v>46322</v>
      </c>
      <c r="F346" t="inlineStr">
        <is>
          <t>HALLANDS LÄN</t>
        </is>
      </c>
      <c r="G346" t="inlineStr">
        <is>
          <t>VARBERG</t>
        </is>
      </c>
      <c r="I346" t="n">
        <v>1.8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1254-2024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45302</v>
      </c>
      <c r="E347" s="1" t="n">
        <v>46322</v>
      </c>
      <c r="F347" t="inlineStr">
        <is>
          <t>HALLANDS LÄN</t>
        </is>
      </c>
      <c r="G347" t="inlineStr">
        <is>
          <t>VARBERG</t>
        </is>
      </c>
      <c r="I347" t="n">
        <v>5.1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28489-2024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45477</v>
      </c>
      <c r="E348" s="1" t="n">
        <v>46322</v>
      </c>
      <c r="F348" t="inlineStr">
        <is>
          <t>HALLANDS LÄN</t>
        </is>
      </c>
      <c r="G348" t="inlineStr">
        <is>
          <t>VARBERG</t>
        </is>
      </c>
      <c r="I348" t="n">
        <v>1.6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48013-2025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45932</v>
      </c>
      <c r="E349" s="1" t="n">
        <v>46322</v>
      </c>
      <c r="F349" t="inlineStr">
        <is>
          <t>HALLANDS LÄN</t>
        </is>
      </c>
      <c r="G349" t="inlineStr">
        <is>
          <t>VARBERG</t>
        </is>
      </c>
      <c r="I349" t="n">
        <v>2.8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7480-2025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45705</v>
      </c>
      <c r="E350" s="1" t="n">
        <v>46322</v>
      </c>
      <c r="F350" t="inlineStr">
        <is>
          <t>HALLANDS LÄN</t>
        </is>
      </c>
      <c r="G350" t="inlineStr">
        <is>
          <t>VARBERG</t>
        </is>
      </c>
      <c r="I350" t="n">
        <v>1.2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28643-2025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45819</v>
      </c>
      <c r="E351" s="1" t="n">
        <v>46322</v>
      </c>
      <c r="F351" t="inlineStr">
        <is>
          <t>HALLANDS LÄN</t>
        </is>
      </c>
      <c r="G351" t="inlineStr">
        <is>
          <t>VARBERG</t>
        </is>
      </c>
      <c r="I351" t="n">
        <v>1.1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35140-2022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44797</v>
      </c>
      <c r="E352" s="1" t="n">
        <v>46322</v>
      </c>
      <c r="F352" t="inlineStr">
        <is>
          <t>HALLANDS LÄN</t>
        </is>
      </c>
      <c r="G352" t="inlineStr">
        <is>
          <t>VARBERG</t>
        </is>
      </c>
      <c r="I352" t="n">
        <v>1.6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60205-2022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44910</v>
      </c>
      <c r="E353" s="1" t="n">
        <v>46322</v>
      </c>
      <c r="F353" t="inlineStr">
        <is>
          <t>HALLANDS LÄN</t>
        </is>
      </c>
      <c r="G353" t="inlineStr">
        <is>
          <t>VARBERG</t>
        </is>
      </c>
      <c r="I353" t="n">
        <v>1.5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13141-2022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44644</v>
      </c>
      <c r="E354" s="1" t="n">
        <v>46322</v>
      </c>
      <c r="F354" t="inlineStr">
        <is>
          <t>HALLANDS LÄN</t>
        </is>
      </c>
      <c r="G354" t="inlineStr">
        <is>
          <t>VARBERG</t>
        </is>
      </c>
      <c r="I354" t="n">
        <v>1.4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13799-2022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44649</v>
      </c>
      <c r="E355" s="1" t="n">
        <v>46322</v>
      </c>
      <c r="F355" t="inlineStr">
        <is>
          <t>HALLANDS LÄN</t>
        </is>
      </c>
      <c r="G355" t="inlineStr">
        <is>
          <t>VARBERG</t>
        </is>
      </c>
      <c r="I355" t="n">
        <v>2.1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35059-2025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45852</v>
      </c>
      <c r="E356" s="1" t="n">
        <v>46322</v>
      </c>
      <c r="F356" t="inlineStr">
        <is>
          <t>HALLANDS LÄN</t>
        </is>
      </c>
      <c r="G356" t="inlineStr">
        <is>
          <t>VARBERG</t>
        </is>
      </c>
      <c r="I356" t="n">
        <v>1.1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14303-2025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45740</v>
      </c>
      <c r="E357" s="1" t="n">
        <v>46322</v>
      </c>
      <c r="F357" t="inlineStr">
        <is>
          <t>HALLANDS LÄN</t>
        </is>
      </c>
      <c r="G357" t="inlineStr">
        <is>
          <t>VARBERG</t>
        </is>
      </c>
      <c r="I357" t="n">
        <v>1.1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22035-2025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45785</v>
      </c>
      <c r="E358" s="1" t="n">
        <v>46322</v>
      </c>
      <c r="F358" t="inlineStr">
        <is>
          <t>HALLANDS LÄN</t>
        </is>
      </c>
      <c r="G358" t="inlineStr">
        <is>
          <t>VARBERG</t>
        </is>
      </c>
      <c r="I358" t="n">
        <v>5.7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39247-2026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46288</v>
      </c>
      <c r="E359" s="1" t="n">
        <v>46322</v>
      </c>
      <c r="F359" t="inlineStr">
        <is>
          <t>HALLANDS LÄN</t>
        </is>
      </c>
      <c r="G359" t="inlineStr">
        <is>
          <t>VARBERG</t>
        </is>
      </c>
      <c r="I359" t="n">
        <v>1.3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46913-2025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45929</v>
      </c>
      <c r="E360" s="1" t="n">
        <v>46322</v>
      </c>
      <c r="F360" t="inlineStr">
        <is>
          <t>HALLANDS LÄN</t>
        </is>
      </c>
      <c r="G360" t="inlineStr">
        <is>
          <t>VARBERG</t>
        </is>
      </c>
      <c r="I360" t="n">
        <v>1.2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59432-2024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45638</v>
      </c>
      <c r="E361" s="1" t="n">
        <v>46322</v>
      </c>
      <c r="F361" t="inlineStr">
        <is>
          <t>HALLANDS LÄN</t>
        </is>
      </c>
      <c r="G361" t="inlineStr">
        <is>
          <t>VARBERG</t>
        </is>
      </c>
      <c r="I361" t="n">
        <v>5.3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10940-2022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44628</v>
      </c>
      <c r="E362" s="1" t="n">
        <v>46322</v>
      </c>
      <c r="F362" t="inlineStr">
        <is>
          <t>HALLANDS LÄN</t>
        </is>
      </c>
      <c r="G362" t="inlineStr">
        <is>
          <t>VARBERG</t>
        </is>
      </c>
      <c r="I362" t="n">
        <v>1.6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15065-2025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45743</v>
      </c>
      <c r="E363" s="1" t="n">
        <v>46322</v>
      </c>
      <c r="F363" t="inlineStr">
        <is>
          <t>HALLANDS LÄN</t>
        </is>
      </c>
      <c r="G363" t="inlineStr">
        <is>
          <t>VARBERG</t>
        </is>
      </c>
      <c r="I363" t="n">
        <v>5.9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23471-2025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45792</v>
      </c>
      <c r="E364" s="1" t="n">
        <v>46322</v>
      </c>
      <c r="F364" t="inlineStr">
        <is>
          <t>HALLANDS LÄN</t>
        </is>
      </c>
      <c r="G364" t="inlineStr">
        <is>
          <t>VARBERG</t>
        </is>
      </c>
      <c r="I364" t="n">
        <v>11.8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10700-2025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45722</v>
      </c>
      <c r="E365" s="1" t="n">
        <v>46322</v>
      </c>
      <c r="F365" t="inlineStr">
        <is>
          <t>HALLANDS LÄN</t>
        </is>
      </c>
      <c r="G365" t="inlineStr">
        <is>
          <t>VARBERG</t>
        </is>
      </c>
      <c r="I365" t="n">
        <v>4.1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9519-2023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44981</v>
      </c>
      <c r="E366" s="1" t="n">
        <v>46322</v>
      </c>
      <c r="F366" t="inlineStr">
        <is>
          <t>HALLANDS LÄN</t>
        </is>
      </c>
      <c r="G366" t="inlineStr">
        <is>
          <t>VARBERG</t>
        </is>
      </c>
      <c r="I366" t="n">
        <v>1.4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10575-2024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45366</v>
      </c>
      <c r="E367" s="1" t="n">
        <v>46322</v>
      </c>
      <c r="F367" t="inlineStr">
        <is>
          <t>HALLANDS LÄN</t>
        </is>
      </c>
      <c r="G367" t="inlineStr">
        <is>
          <t>VARBERG</t>
        </is>
      </c>
      <c r="I367" t="n">
        <v>0.9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14312-2022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44652</v>
      </c>
      <c r="E368" s="1" t="n">
        <v>46322</v>
      </c>
      <c r="F368" t="inlineStr">
        <is>
          <t>HALLANDS LÄN</t>
        </is>
      </c>
      <c r="G368" t="inlineStr">
        <is>
          <t>VARBERG</t>
        </is>
      </c>
      <c r="I368" t="n">
        <v>2.2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15067-2022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44657</v>
      </c>
      <c r="E369" s="1" t="n">
        <v>46322</v>
      </c>
      <c r="F369" t="inlineStr">
        <is>
          <t>HALLANDS LÄN</t>
        </is>
      </c>
      <c r="G369" t="inlineStr">
        <is>
          <t>VARBERG</t>
        </is>
      </c>
      <c r="I369" t="n">
        <v>0.8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23052-2023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45075</v>
      </c>
      <c r="E370" s="1" t="n">
        <v>46322</v>
      </c>
      <c r="F370" t="inlineStr">
        <is>
          <t>HALLANDS LÄN</t>
        </is>
      </c>
      <c r="G370" t="inlineStr">
        <is>
          <t>VARBERG</t>
        </is>
      </c>
      <c r="I370" t="n">
        <v>0.5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34026-2026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46251</v>
      </c>
      <c r="E371" s="1" t="n">
        <v>46322</v>
      </c>
      <c r="F371" t="inlineStr">
        <is>
          <t>HALLANDS LÄN</t>
        </is>
      </c>
      <c r="G371" t="inlineStr">
        <is>
          <t>VARBERG</t>
        </is>
      </c>
      <c r="H371" t="inlineStr">
        <is>
          <t>Övriga statliga verk och myndigheter</t>
        </is>
      </c>
      <c r="I371" t="n">
        <v>5.1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3003-2025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45678</v>
      </c>
      <c r="E372" s="1" t="n">
        <v>46322</v>
      </c>
      <c r="F372" t="inlineStr">
        <is>
          <t>HALLANDS LÄN</t>
        </is>
      </c>
      <c r="G372" t="inlineStr">
        <is>
          <t>VARBERG</t>
        </is>
      </c>
      <c r="H372" t="inlineStr">
        <is>
          <t>Kyrkan</t>
        </is>
      </c>
      <c r="I372" t="n">
        <v>3.4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9348-2024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45359</v>
      </c>
      <c r="E373" s="1" t="n">
        <v>46322</v>
      </c>
      <c r="F373" t="inlineStr">
        <is>
          <t>HALLANDS LÄN</t>
        </is>
      </c>
      <c r="G373" t="inlineStr">
        <is>
          <t>VARBERG</t>
        </is>
      </c>
      <c r="I373" t="n">
        <v>1.3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34051-2026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46251</v>
      </c>
      <c r="E374" s="1" t="n">
        <v>46322</v>
      </c>
      <c r="F374" t="inlineStr">
        <is>
          <t>HALLANDS LÄN</t>
        </is>
      </c>
      <c r="G374" t="inlineStr">
        <is>
          <t>VARBERG</t>
        </is>
      </c>
      <c r="H374" t="inlineStr">
        <is>
          <t>Övriga statliga verk och myndigheter</t>
        </is>
      </c>
      <c r="I374" t="n">
        <v>1.3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44619-2024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45574</v>
      </c>
      <c r="E375" s="1" t="n">
        <v>46322</v>
      </c>
      <c r="F375" t="inlineStr">
        <is>
          <t>HALLANDS LÄN</t>
        </is>
      </c>
      <c r="G375" t="inlineStr">
        <is>
          <t>VARBERG</t>
        </is>
      </c>
      <c r="I375" t="n">
        <v>5.1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46421-2023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45197</v>
      </c>
      <c r="E376" s="1" t="n">
        <v>46322</v>
      </c>
      <c r="F376" t="inlineStr">
        <is>
          <t>HALLANDS LÄN</t>
        </is>
      </c>
      <c r="G376" t="inlineStr">
        <is>
          <t>VARBERG</t>
        </is>
      </c>
      <c r="I376" t="n">
        <v>2.3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6861-2025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45701</v>
      </c>
      <c r="E377" s="1" t="n">
        <v>46322</v>
      </c>
      <c r="F377" t="inlineStr">
        <is>
          <t>HALLANDS LÄN</t>
        </is>
      </c>
      <c r="G377" t="inlineStr">
        <is>
          <t>VARBERG</t>
        </is>
      </c>
      <c r="I377" t="n">
        <v>3.6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70040-2021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44533</v>
      </c>
      <c r="E378" s="1" t="n">
        <v>46322</v>
      </c>
      <c r="F378" t="inlineStr">
        <is>
          <t>HALLANDS LÄN</t>
        </is>
      </c>
      <c r="G378" t="inlineStr">
        <is>
          <t>VARBERG</t>
        </is>
      </c>
      <c r="I378" t="n">
        <v>2.2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15426-2022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44659</v>
      </c>
      <c r="E379" s="1" t="n">
        <v>46322</v>
      </c>
      <c r="F379" t="inlineStr">
        <is>
          <t>HALLANDS LÄN</t>
        </is>
      </c>
      <c r="G379" t="inlineStr">
        <is>
          <t>VARBERG</t>
        </is>
      </c>
      <c r="I379" t="n">
        <v>3.6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37875-2025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45881</v>
      </c>
      <c r="E380" s="1" t="n">
        <v>46322</v>
      </c>
      <c r="F380" t="inlineStr">
        <is>
          <t>HALLANDS LÄN</t>
        </is>
      </c>
      <c r="G380" t="inlineStr">
        <is>
          <t>VARBERG</t>
        </is>
      </c>
      <c r="I380" t="n">
        <v>5.7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64767-2023</t>
        </is>
      </c>
      <c r="B381" t="inlineStr">
        <is>
          <t>avverkningsanmälan</t>
        </is>
      </c>
      <c r="C381" t="inlineStr">
        <is>
          <t>Avverkning för annat ändamål</t>
        </is>
      </c>
      <c r="D381" s="1" t="n">
        <v>45281</v>
      </c>
      <c r="E381" s="1" t="n">
        <v>46322</v>
      </c>
      <c r="F381" t="inlineStr">
        <is>
          <t>HALLANDS LÄN</t>
        </is>
      </c>
      <c r="G381" t="inlineStr">
        <is>
          <t>VARBERG</t>
        </is>
      </c>
      <c r="I381" t="n">
        <v>0.3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49182-2023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45210</v>
      </c>
      <c r="E382" s="1" t="n">
        <v>46322</v>
      </c>
      <c r="F382" t="inlineStr">
        <is>
          <t>HALLANDS LÄN</t>
        </is>
      </c>
      <c r="G382" t="inlineStr">
        <is>
          <t>VARBERG</t>
        </is>
      </c>
      <c r="I382" t="n">
        <v>5.6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46771-2022</t>
        </is>
      </c>
      <c r="B383" t="inlineStr">
        <is>
          <t>avverkningsanmälan</t>
        </is>
      </c>
      <c r="C383" t="inlineStr">
        <is>
          <t>Avverkning för annat ändamål</t>
        </is>
      </c>
      <c r="D383" s="1" t="n">
        <v>44851</v>
      </c>
      <c r="E383" s="1" t="n">
        <v>46322</v>
      </c>
      <c r="F383" t="inlineStr">
        <is>
          <t>HALLANDS LÄN</t>
        </is>
      </c>
      <c r="G383" t="inlineStr">
        <is>
          <t>VARBERG</t>
        </is>
      </c>
      <c r="I383" t="n">
        <v>2.3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15844-2024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45404</v>
      </c>
      <c r="E384" s="1" t="n">
        <v>46322</v>
      </c>
      <c r="F384" t="inlineStr">
        <is>
          <t>HALLANDS LÄN</t>
        </is>
      </c>
      <c r="G384" t="inlineStr">
        <is>
          <t>VARBERG</t>
        </is>
      </c>
      <c r="I384" t="n">
        <v>1.5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40461-2026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46295</v>
      </c>
      <c r="E385" s="1" t="n">
        <v>46322</v>
      </c>
      <c r="F385" t="inlineStr">
        <is>
          <t>HALLANDS LÄN</t>
        </is>
      </c>
      <c r="G385" t="inlineStr">
        <is>
          <t>VARBERG</t>
        </is>
      </c>
      <c r="I385" t="n">
        <v>0.9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23165-2026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46161</v>
      </c>
      <c r="E386" s="1" t="n">
        <v>46322</v>
      </c>
      <c r="F386" t="inlineStr">
        <is>
          <t>HALLANDS LÄN</t>
        </is>
      </c>
      <c r="G386" t="inlineStr">
        <is>
          <t>VARBERG</t>
        </is>
      </c>
      <c r="I386" t="n">
        <v>2.3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23192-2026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46161</v>
      </c>
      <c r="E387" s="1" t="n">
        <v>46322</v>
      </c>
      <c r="F387" t="inlineStr">
        <is>
          <t>HALLANDS LÄN</t>
        </is>
      </c>
      <c r="G387" t="inlineStr">
        <is>
          <t>VARBERG</t>
        </is>
      </c>
      <c r="I387" t="n">
        <v>3.7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48006-2025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45932</v>
      </c>
      <c r="E388" s="1" t="n">
        <v>46322</v>
      </c>
      <c r="F388" t="inlineStr">
        <is>
          <t>HALLANDS LÄN</t>
        </is>
      </c>
      <c r="G388" t="inlineStr">
        <is>
          <t>VARBERG</t>
        </is>
      </c>
      <c r="I388" t="n">
        <v>2.1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23167-2026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46161</v>
      </c>
      <c r="E389" s="1" t="n">
        <v>46322</v>
      </c>
      <c r="F389" t="inlineStr">
        <is>
          <t>HALLANDS LÄN</t>
        </is>
      </c>
      <c r="G389" t="inlineStr">
        <is>
          <t>VARBERG</t>
        </is>
      </c>
      <c r="I389" t="n">
        <v>3.9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10693-2025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45722</v>
      </c>
      <c r="E390" s="1" t="n">
        <v>46322</v>
      </c>
      <c r="F390" t="inlineStr">
        <is>
          <t>HALLANDS LÄN</t>
        </is>
      </c>
      <c r="G390" t="inlineStr">
        <is>
          <t>VARBERG</t>
        </is>
      </c>
      <c r="I390" t="n">
        <v>2.8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40514-2026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46295</v>
      </c>
      <c r="E391" s="1" t="n">
        <v>46322</v>
      </c>
      <c r="F391" t="inlineStr">
        <is>
          <t>HALLANDS LÄN</t>
        </is>
      </c>
      <c r="G391" t="inlineStr">
        <is>
          <t>VARBERG</t>
        </is>
      </c>
      <c r="I391" t="n">
        <v>4.6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23640-2026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46164</v>
      </c>
      <c r="E392" s="1" t="n">
        <v>46322</v>
      </c>
      <c r="F392" t="inlineStr">
        <is>
          <t>HALLANDS LÄN</t>
        </is>
      </c>
      <c r="G392" t="inlineStr">
        <is>
          <t>VARBERG</t>
        </is>
      </c>
      <c r="I392" t="n">
        <v>1.2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23641-2026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46164</v>
      </c>
      <c r="E393" s="1" t="n">
        <v>46322</v>
      </c>
      <c r="F393" t="inlineStr">
        <is>
          <t>HALLANDS LÄN</t>
        </is>
      </c>
      <c r="G393" t="inlineStr">
        <is>
          <t>VARBERG</t>
        </is>
      </c>
      <c r="I393" t="n">
        <v>0.5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7695-2024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45349</v>
      </c>
      <c r="E394" s="1" t="n">
        <v>46322</v>
      </c>
      <c r="F394" t="inlineStr">
        <is>
          <t>HALLANDS LÄN</t>
        </is>
      </c>
      <c r="G394" t="inlineStr">
        <is>
          <t>VARBERG</t>
        </is>
      </c>
      <c r="I394" t="n">
        <v>1.8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46581-2024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45582</v>
      </c>
      <c r="E395" s="1" t="n">
        <v>46322</v>
      </c>
      <c r="F395" t="inlineStr">
        <is>
          <t>HALLANDS LÄN</t>
        </is>
      </c>
      <c r="G395" t="inlineStr">
        <is>
          <t>VARBERG</t>
        </is>
      </c>
      <c r="I395" t="n">
        <v>2.6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16899-2024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45411</v>
      </c>
      <c r="E396" s="1" t="n">
        <v>46322</v>
      </c>
      <c r="F396" t="inlineStr">
        <is>
          <t>HALLANDS LÄN</t>
        </is>
      </c>
      <c r="G396" t="inlineStr">
        <is>
          <t>VARBERG</t>
        </is>
      </c>
      <c r="I396" t="n">
        <v>0.3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24041-2026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46168</v>
      </c>
      <c r="E397" s="1" t="n">
        <v>46322</v>
      </c>
      <c r="F397" t="inlineStr">
        <is>
          <t>HALLANDS LÄN</t>
        </is>
      </c>
      <c r="G397" t="inlineStr">
        <is>
          <t>VARBERG</t>
        </is>
      </c>
      <c r="I397" t="n">
        <v>1.9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55505-2023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45238</v>
      </c>
      <c r="E398" s="1" t="n">
        <v>46322</v>
      </c>
      <c r="F398" t="inlineStr">
        <is>
          <t>HALLANDS LÄN</t>
        </is>
      </c>
      <c r="G398" t="inlineStr">
        <is>
          <t>VARBERG</t>
        </is>
      </c>
      <c r="I398" t="n">
        <v>0.5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50340-2024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45600</v>
      </c>
      <c r="E399" s="1" t="n">
        <v>46322</v>
      </c>
      <c r="F399" t="inlineStr">
        <is>
          <t>HALLANDS LÄN</t>
        </is>
      </c>
      <c r="G399" t="inlineStr">
        <is>
          <t>VARBERG</t>
        </is>
      </c>
      <c r="I399" t="n">
        <v>0.5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48453-2024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45590</v>
      </c>
      <c r="E400" s="1" t="n">
        <v>46322</v>
      </c>
      <c r="F400" t="inlineStr">
        <is>
          <t>HALLANDS LÄN</t>
        </is>
      </c>
      <c r="G400" t="inlineStr">
        <is>
          <t>VARBERG</t>
        </is>
      </c>
      <c r="I400" t="n">
        <v>1.1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45987-2024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45580</v>
      </c>
      <c r="E401" s="1" t="n">
        <v>46322</v>
      </c>
      <c r="F401" t="inlineStr">
        <is>
          <t>HALLANDS LÄN</t>
        </is>
      </c>
      <c r="G401" t="inlineStr">
        <is>
          <t>VARBERG</t>
        </is>
      </c>
      <c r="I401" t="n">
        <v>4.1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31826-2024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45509</v>
      </c>
      <c r="E402" s="1" t="n">
        <v>46322</v>
      </c>
      <c r="F402" t="inlineStr">
        <is>
          <t>HALLANDS LÄN</t>
        </is>
      </c>
      <c r="G402" t="inlineStr">
        <is>
          <t>VARBERG</t>
        </is>
      </c>
      <c r="H402" t="inlineStr">
        <is>
          <t>Kyrkan</t>
        </is>
      </c>
      <c r="I402" t="n">
        <v>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10808-2024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45369</v>
      </c>
      <c r="E403" s="1" t="n">
        <v>46322</v>
      </c>
      <c r="F403" t="inlineStr">
        <is>
          <t>HALLANDS LÄN</t>
        </is>
      </c>
      <c r="G403" t="inlineStr">
        <is>
          <t>VARBERG</t>
        </is>
      </c>
      <c r="I403" t="n">
        <v>1.4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25989-2022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44734</v>
      </c>
      <c r="E404" s="1" t="n">
        <v>46322</v>
      </c>
      <c r="F404" t="inlineStr">
        <is>
          <t>HALLANDS LÄN</t>
        </is>
      </c>
      <c r="G404" t="inlineStr">
        <is>
          <t>VARBERG</t>
        </is>
      </c>
      <c r="I404" t="n">
        <v>2.3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24996-2026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46174</v>
      </c>
      <c r="E405" s="1" t="n">
        <v>46322</v>
      </c>
      <c r="F405" t="inlineStr">
        <is>
          <t>HALLANDS LÄN</t>
        </is>
      </c>
      <c r="G405" t="inlineStr">
        <is>
          <t>VARBERG</t>
        </is>
      </c>
      <c r="I405" t="n">
        <v>4.3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1076-2024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45302</v>
      </c>
      <c r="E406" s="1" t="n">
        <v>46322</v>
      </c>
      <c r="F406" t="inlineStr">
        <is>
          <t>HALLANDS LÄN</t>
        </is>
      </c>
      <c r="G406" t="inlineStr">
        <is>
          <t>VARBERG</t>
        </is>
      </c>
      <c r="I406" t="n">
        <v>2.2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25025-2026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46174</v>
      </c>
      <c r="E407" s="1" t="n">
        <v>46322</v>
      </c>
      <c r="F407" t="inlineStr">
        <is>
          <t>HALLANDS LÄN</t>
        </is>
      </c>
      <c r="G407" t="inlineStr">
        <is>
          <t>VARBERG</t>
        </is>
      </c>
      <c r="I407" t="n">
        <v>4.6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52283-2023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45224</v>
      </c>
      <c r="E408" s="1" t="n">
        <v>46322</v>
      </c>
      <c r="F408" t="inlineStr">
        <is>
          <t>HALLANDS LÄN</t>
        </is>
      </c>
      <c r="G408" t="inlineStr">
        <is>
          <t>VARBERG</t>
        </is>
      </c>
      <c r="I408" t="n">
        <v>0.7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37223-2023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45155</v>
      </c>
      <c r="E409" s="1" t="n">
        <v>46322</v>
      </c>
      <c r="F409" t="inlineStr">
        <is>
          <t>HALLANDS LÄN</t>
        </is>
      </c>
      <c r="G409" t="inlineStr">
        <is>
          <t>VARBERG</t>
        </is>
      </c>
      <c r="I409" t="n">
        <v>1.8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25253-2026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46175</v>
      </c>
      <c r="E410" s="1" t="n">
        <v>46322</v>
      </c>
      <c r="F410" t="inlineStr">
        <is>
          <t>HALLANDS LÄN</t>
        </is>
      </c>
      <c r="G410" t="inlineStr">
        <is>
          <t>VARBERG</t>
        </is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25255-2026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46175</v>
      </c>
      <c r="E411" s="1" t="n">
        <v>46322</v>
      </c>
      <c r="F411" t="inlineStr">
        <is>
          <t>HALLANDS LÄN</t>
        </is>
      </c>
      <c r="G411" t="inlineStr">
        <is>
          <t>VARBERG</t>
        </is>
      </c>
      <c r="I411" t="n">
        <v>3.2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34307-2026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46254</v>
      </c>
      <c r="E412" s="1" t="n">
        <v>46322</v>
      </c>
      <c r="F412" t="inlineStr">
        <is>
          <t>HALLANDS LÄN</t>
        </is>
      </c>
      <c r="G412" t="inlineStr">
        <is>
          <t>VARBERG</t>
        </is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26202-2026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46182</v>
      </c>
      <c r="E413" s="1" t="n">
        <v>46322</v>
      </c>
      <c r="F413" t="inlineStr">
        <is>
          <t>HALLANDS LÄN</t>
        </is>
      </c>
      <c r="G413" t="inlineStr">
        <is>
          <t>VARBERG</t>
        </is>
      </c>
      <c r="I413" t="n">
        <v>0.9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34570-2023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45140</v>
      </c>
      <c r="E414" s="1" t="n">
        <v>46322</v>
      </c>
      <c r="F414" t="inlineStr">
        <is>
          <t>HALLANDS LÄN</t>
        </is>
      </c>
      <c r="G414" t="inlineStr">
        <is>
          <t>VARBERG</t>
        </is>
      </c>
      <c r="I414" t="n">
        <v>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34571-2023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45140</v>
      </c>
      <c r="E415" s="1" t="n">
        <v>46322</v>
      </c>
      <c r="F415" t="inlineStr">
        <is>
          <t>HALLANDS LÄN</t>
        </is>
      </c>
      <c r="G415" t="inlineStr">
        <is>
          <t>VARBERG</t>
        </is>
      </c>
      <c r="I415" t="n">
        <v>0.7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20704-2023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45058</v>
      </c>
      <c r="E416" s="1" t="n">
        <v>46322</v>
      </c>
      <c r="F416" t="inlineStr">
        <is>
          <t>HALLANDS LÄN</t>
        </is>
      </c>
      <c r="G416" t="inlineStr">
        <is>
          <t>VARBERG</t>
        </is>
      </c>
      <c r="I416" t="n">
        <v>0.7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34533-2026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46255</v>
      </c>
      <c r="E417" s="1" t="n">
        <v>46322</v>
      </c>
      <c r="F417" t="inlineStr">
        <is>
          <t>HALLANDS LÄN</t>
        </is>
      </c>
      <c r="G417" t="inlineStr">
        <is>
          <t>VARBERG</t>
        </is>
      </c>
      <c r="I417" t="n">
        <v>2.8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20072-2024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45434</v>
      </c>
      <c r="E418" s="1" t="n">
        <v>46322</v>
      </c>
      <c r="F418" t="inlineStr">
        <is>
          <t>HALLANDS LÄN</t>
        </is>
      </c>
      <c r="G418" t="inlineStr">
        <is>
          <t>VARBERG</t>
        </is>
      </c>
      <c r="I418" t="n">
        <v>9.1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34525-2026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46255</v>
      </c>
      <c r="E419" s="1" t="n">
        <v>46322</v>
      </c>
      <c r="F419" t="inlineStr">
        <is>
          <t>HALLANDS LÄN</t>
        </is>
      </c>
      <c r="G419" t="inlineStr">
        <is>
          <t>VARBERG</t>
        </is>
      </c>
      <c r="I419" t="n">
        <v>5.5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41469-2026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46301</v>
      </c>
      <c r="E420" s="1" t="n">
        <v>46322</v>
      </c>
      <c r="F420" t="inlineStr">
        <is>
          <t>HALLANDS LÄN</t>
        </is>
      </c>
      <c r="G420" t="inlineStr">
        <is>
          <t>VARBERG</t>
        </is>
      </c>
      <c r="I420" t="n">
        <v>7.8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46026-2023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45196</v>
      </c>
      <c r="E421" s="1" t="n">
        <v>46322</v>
      </c>
      <c r="F421" t="inlineStr">
        <is>
          <t>HALLANDS LÄN</t>
        </is>
      </c>
      <c r="G421" t="inlineStr">
        <is>
          <t>VARBERG</t>
        </is>
      </c>
      <c r="I421" t="n">
        <v>0.9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46395-2023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45197</v>
      </c>
      <c r="E422" s="1" t="n">
        <v>46322</v>
      </c>
      <c r="F422" t="inlineStr">
        <is>
          <t>HALLANDS LÄN</t>
        </is>
      </c>
      <c r="G422" t="inlineStr">
        <is>
          <t>VARBERG</t>
        </is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7836-2025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45706</v>
      </c>
      <c r="E423" s="1" t="n">
        <v>46322</v>
      </c>
      <c r="F423" t="inlineStr">
        <is>
          <t>HALLANDS LÄN</t>
        </is>
      </c>
      <c r="G423" t="inlineStr">
        <is>
          <t>VARBERG</t>
        </is>
      </c>
      <c r="H423" t="inlineStr">
        <is>
          <t>Övriga statliga verk och myndigheter</t>
        </is>
      </c>
      <c r="I423" t="n">
        <v>1.3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32307-2025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45835</v>
      </c>
      <c r="E424" s="1" t="n">
        <v>46322</v>
      </c>
      <c r="F424" t="inlineStr">
        <is>
          <t>HALLANDS LÄN</t>
        </is>
      </c>
      <c r="G424" t="inlineStr">
        <is>
          <t>VARBERG</t>
        </is>
      </c>
      <c r="I424" t="n">
        <v>2.9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41264-2026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46300</v>
      </c>
      <c r="E425" s="1" t="n">
        <v>46322</v>
      </c>
      <c r="F425" t="inlineStr">
        <is>
          <t>HALLANDS LÄN</t>
        </is>
      </c>
      <c r="G425" t="inlineStr">
        <is>
          <t>VARBERG</t>
        </is>
      </c>
      <c r="I425" t="n">
        <v>3.3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41044-2026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46299</v>
      </c>
      <c r="E426" s="1" t="n">
        <v>46322</v>
      </c>
      <c r="F426" t="inlineStr">
        <is>
          <t>HALLANDS LÄN</t>
        </is>
      </c>
      <c r="G426" t="inlineStr">
        <is>
          <t>VARBERG</t>
        </is>
      </c>
      <c r="I426" t="n">
        <v>0.7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18460-2025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45762</v>
      </c>
      <c r="E427" s="1" t="n">
        <v>46322</v>
      </c>
      <c r="F427" t="inlineStr">
        <is>
          <t>HALLANDS LÄN</t>
        </is>
      </c>
      <c r="G427" t="inlineStr">
        <is>
          <t>VARBERG</t>
        </is>
      </c>
      <c r="I427" t="n">
        <v>7.5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14756-2024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45397</v>
      </c>
      <c r="E428" s="1" t="n">
        <v>46322</v>
      </c>
      <c r="F428" t="inlineStr">
        <is>
          <t>HALLANDS LÄN</t>
        </is>
      </c>
      <c r="G428" t="inlineStr">
        <is>
          <t>VARBERG</t>
        </is>
      </c>
      <c r="I428" t="n">
        <v>1.5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20050-2025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45772</v>
      </c>
      <c r="E429" s="1" t="n">
        <v>46322</v>
      </c>
      <c r="F429" t="inlineStr">
        <is>
          <t>HALLANDS LÄN</t>
        </is>
      </c>
      <c r="G429" t="inlineStr">
        <is>
          <t>VARBERG</t>
        </is>
      </c>
      <c r="I429" t="n">
        <v>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6773-2025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45700</v>
      </c>
      <c r="E430" s="1" t="n">
        <v>46322</v>
      </c>
      <c r="F430" t="inlineStr">
        <is>
          <t>HALLANDS LÄN</t>
        </is>
      </c>
      <c r="G430" t="inlineStr">
        <is>
          <t>VARBERG</t>
        </is>
      </c>
      <c r="I430" t="n">
        <v>4.1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41880-2026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46303</v>
      </c>
      <c r="E431" s="1" t="n">
        <v>46322</v>
      </c>
      <c r="F431" t="inlineStr">
        <is>
          <t>HALLANDS LÄN</t>
        </is>
      </c>
      <c r="G431" t="inlineStr">
        <is>
          <t>VARBERG</t>
        </is>
      </c>
      <c r="I431" t="n">
        <v>0.9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10688-2025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45722</v>
      </c>
      <c r="E432" s="1" t="n">
        <v>46322</v>
      </c>
      <c r="F432" t="inlineStr">
        <is>
          <t>HALLANDS LÄN</t>
        </is>
      </c>
      <c r="G432" t="inlineStr">
        <is>
          <t>VARBERG</t>
        </is>
      </c>
      <c r="I432" t="n">
        <v>9.5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31198-2022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44770</v>
      </c>
      <c r="E433" s="1" t="n">
        <v>46322</v>
      </c>
      <c r="F433" t="inlineStr">
        <is>
          <t>HALLANDS LÄN</t>
        </is>
      </c>
      <c r="G433" t="inlineStr">
        <is>
          <t>VARBERG</t>
        </is>
      </c>
      <c r="I433" t="n">
        <v>5.9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9885-2023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44985</v>
      </c>
      <c r="E434" s="1" t="n">
        <v>46322</v>
      </c>
      <c r="F434" t="inlineStr">
        <is>
          <t>HALLANDS LÄN</t>
        </is>
      </c>
      <c r="G434" t="inlineStr">
        <is>
          <t>VARBERG</t>
        </is>
      </c>
      <c r="I434" t="n">
        <v>6.6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18343-2024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45422</v>
      </c>
      <c r="E435" s="1" t="n">
        <v>46322</v>
      </c>
      <c r="F435" t="inlineStr">
        <is>
          <t>HALLANDS LÄN</t>
        </is>
      </c>
      <c r="G435" t="inlineStr">
        <is>
          <t>VARBERG</t>
        </is>
      </c>
      <c r="I435" t="n">
        <v>1.3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56320-2022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44890</v>
      </c>
      <c r="E436" s="1" t="n">
        <v>46322</v>
      </c>
      <c r="F436" t="inlineStr">
        <is>
          <t>HALLANDS LÄN</t>
        </is>
      </c>
      <c r="G436" t="inlineStr">
        <is>
          <t>VARBERG</t>
        </is>
      </c>
      <c r="I436" t="n">
        <v>5.5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42390-2026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46307</v>
      </c>
      <c r="E437" s="1" t="n">
        <v>46322</v>
      </c>
      <c r="F437" t="inlineStr">
        <is>
          <t>HALLANDS LÄN</t>
        </is>
      </c>
      <c r="G437" t="inlineStr">
        <is>
          <t>VARBERG</t>
        </is>
      </c>
      <c r="I437" t="n">
        <v>4.7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57669-2023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45246</v>
      </c>
      <c r="E438" s="1" t="n">
        <v>46322</v>
      </c>
      <c r="F438" t="inlineStr">
        <is>
          <t>HALLANDS LÄN</t>
        </is>
      </c>
      <c r="G438" t="inlineStr">
        <is>
          <t>VARBERG</t>
        </is>
      </c>
      <c r="I438" t="n">
        <v>2.8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34558-2023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45140</v>
      </c>
      <c r="E439" s="1" t="n">
        <v>46322</v>
      </c>
      <c r="F439" t="inlineStr">
        <is>
          <t>HALLANDS LÄN</t>
        </is>
      </c>
      <c r="G439" t="inlineStr">
        <is>
          <t>VARBERG</t>
        </is>
      </c>
      <c r="I439" t="n">
        <v>1.4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14710-2023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45014</v>
      </c>
      <c r="E440" s="1" t="n">
        <v>46322</v>
      </c>
      <c r="F440" t="inlineStr">
        <is>
          <t>HALLANDS LÄN</t>
        </is>
      </c>
      <c r="G440" t="inlineStr">
        <is>
          <t>VARBERG</t>
        </is>
      </c>
      <c r="I440" t="n">
        <v>0.7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42917-2024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45567</v>
      </c>
      <c r="E441" s="1" t="n">
        <v>46322</v>
      </c>
      <c r="F441" t="inlineStr">
        <is>
          <t>HALLANDS LÄN</t>
        </is>
      </c>
      <c r="G441" t="inlineStr">
        <is>
          <t>VARBERG</t>
        </is>
      </c>
      <c r="I441" t="n">
        <v>0.7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7124-2024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45344</v>
      </c>
      <c r="E442" s="1" t="n">
        <v>46322</v>
      </c>
      <c r="F442" t="inlineStr">
        <is>
          <t>HALLANDS LÄN</t>
        </is>
      </c>
      <c r="G442" t="inlineStr">
        <is>
          <t>VARBERG</t>
        </is>
      </c>
      <c r="I442" t="n">
        <v>2.7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9741-2025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45716</v>
      </c>
      <c r="E443" s="1" t="n">
        <v>46322</v>
      </c>
      <c r="F443" t="inlineStr">
        <is>
          <t>HALLANDS LÄN</t>
        </is>
      </c>
      <c r="G443" t="inlineStr">
        <is>
          <t>VARBERG</t>
        </is>
      </c>
      <c r="I443" t="n">
        <v>0.7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19595-2025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45770</v>
      </c>
      <c r="E444" s="1" t="n">
        <v>46322</v>
      </c>
      <c r="F444" t="inlineStr">
        <is>
          <t>HALLANDS LÄN</t>
        </is>
      </c>
      <c r="G444" t="inlineStr">
        <is>
          <t>VARBERG</t>
        </is>
      </c>
      <c r="I444" t="n">
        <v>0.4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8189-2025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45708</v>
      </c>
      <c r="E445" s="1" t="n">
        <v>46322</v>
      </c>
      <c r="F445" t="inlineStr">
        <is>
          <t>HALLANDS LÄN</t>
        </is>
      </c>
      <c r="G445" t="inlineStr">
        <is>
          <t>VARBERG</t>
        </is>
      </c>
      <c r="I445" t="n">
        <v>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45626-2024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45579</v>
      </c>
      <c r="E446" s="1" t="n">
        <v>46322</v>
      </c>
      <c r="F446" t="inlineStr">
        <is>
          <t>HALLANDS LÄN</t>
        </is>
      </c>
      <c r="G446" t="inlineStr">
        <is>
          <t>VARBERG</t>
        </is>
      </c>
      <c r="I446" t="n">
        <v>1.7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24227-2024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45457</v>
      </c>
      <c r="E447" s="1" t="n">
        <v>46322</v>
      </c>
      <c r="F447" t="inlineStr">
        <is>
          <t>HALLANDS LÄN</t>
        </is>
      </c>
      <c r="G447" t="inlineStr">
        <is>
          <t>VARBERG</t>
        </is>
      </c>
      <c r="H447" t="inlineStr">
        <is>
          <t>Kyrkan</t>
        </is>
      </c>
      <c r="I447" t="n">
        <v>3.8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15250-2025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45744</v>
      </c>
      <c r="E448" s="1" t="n">
        <v>46322</v>
      </c>
      <c r="F448" t="inlineStr">
        <is>
          <t>HALLANDS LÄN</t>
        </is>
      </c>
      <c r="G448" t="inlineStr">
        <is>
          <t>VARBERG</t>
        </is>
      </c>
      <c r="I448" t="n">
        <v>0.9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36407-2026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46268</v>
      </c>
      <c r="E449" s="1" t="n">
        <v>46322</v>
      </c>
      <c r="F449" t="inlineStr">
        <is>
          <t>HALLANDS LÄN</t>
        </is>
      </c>
      <c r="G449" t="inlineStr">
        <is>
          <t>VARBERG</t>
        </is>
      </c>
      <c r="I449" t="n">
        <v>0.4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43145-2026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46311</v>
      </c>
      <c r="E450" s="1" t="n">
        <v>46322</v>
      </c>
      <c r="F450" t="inlineStr">
        <is>
          <t>HALLANDS LÄN</t>
        </is>
      </c>
      <c r="G450" t="inlineStr">
        <is>
          <t>VARBERG</t>
        </is>
      </c>
      <c r="I450" t="n">
        <v>7.1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48019-2022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44855</v>
      </c>
      <c r="E451" s="1" t="n">
        <v>46322</v>
      </c>
      <c r="F451" t="inlineStr">
        <is>
          <t>HALLANDS LÄN</t>
        </is>
      </c>
      <c r="G451" t="inlineStr">
        <is>
          <t>VARBERG</t>
        </is>
      </c>
      <c r="I451" t="n">
        <v>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36424-2026</t>
        </is>
      </c>
      <c r="B452" t="inlineStr">
        <is>
          <t>avverkningsanmälan</t>
        </is>
      </c>
      <c r="C452" t="inlineStr">
        <is>
          <t>Avverkning för annat ändamål</t>
        </is>
      </c>
      <c r="D452" s="1" t="n">
        <v>46269</v>
      </c>
      <c r="E452" s="1" t="n">
        <v>46322</v>
      </c>
      <c r="F452" t="inlineStr">
        <is>
          <t>HALLANDS LÄN</t>
        </is>
      </c>
      <c r="G452" t="inlineStr">
        <is>
          <t>VARBERG</t>
        </is>
      </c>
      <c r="I452" t="n">
        <v>1.5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9514-2023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44981</v>
      </c>
      <c r="E453" s="1" t="n">
        <v>46322</v>
      </c>
      <c r="F453" t="inlineStr">
        <is>
          <t>HALLANDS LÄN</t>
        </is>
      </c>
      <c r="G453" t="inlineStr">
        <is>
          <t>VARBERG</t>
        </is>
      </c>
      <c r="I453" t="n">
        <v>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36425-2026</t>
        </is>
      </c>
      <c r="B454" t="inlineStr">
        <is>
          <t>avverkningsanmälan</t>
        </is>
      </c>
      <c r="C454" t="inlineStr">
        <is>
          <t>Avverkning för annat ändamål</t>
        </is>
      </c>
      <c r="D454" s="1" t="n">
        <v>46269</v>
      </c>
      <c r="E454" s="1" t="n">
        <v>46322</v>
      </c>
      <c r="F454" t="inlineStr">
        <is>
          <t>HALLANDS LÄN</t>
        </is>
      </c>
      <c r="G454" t="inlineStr">
        <is>
          <t>VARBERG</t>
        </is>
      </c>
      <c r="I454" t="n">
        <v>2.1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23912-2022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44722</v>
      </c>
      <c r="E455" s="1" t="n">
        <v>46322</v>
      </c>
      <c r="F455" t="inlineStr">
        <is>
          <t>HALLANDS LÄN</t>
        </is>
      </c>
      <c r="G455" t="inlineStr">
        <is>
          <t>VARBERG</t>
        </is>
      </c>
      <c r="I455" t="n">
        <v>6.2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43565-2026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46315</v>
      </c>
      <c r="E456" s="1" t="n">
        <v>46322</v>
      </c>
      <c r="F456" t="inlineStr">
        <is>
          <t>HALLANDS LÄN</t>
        </is>
      </c>
      <c r="G456" t="inlineStr">
        <is>
          <t>VARBERG</t>
        </is>
      </c>
      <c r="I456" t="n">
        <v>0.8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36506-2026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46269</v>
      </c>
      <c r="E457" s="1" t="n">
        <v>46322</v>
      </c>
      <c r="F457" t="inlineStr">
        <is>
          <t>HALLANDS LÄN</t>
        </is>
      </c>
      <c r="G457" t="inlineStr">
        <is>
          <t>VARBERG</t>
        </is>
      </c>
      <c r="I457" t="n">
        <v>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36423-2026</t>
        </is>
      </c>
      <c r="B458" t="inlineStr">
        <is>
          <t>avverkningsanmälan</t>
        </is>
      </c>
      <c r="C458" t="inlineStr">
        <is>
          <t>Avverkning för annat ändamål</t>
        </is>
      </c>
      <c r="D458" s="1" t="n">
        <v>46269</v>
      </c>
      <c r="E458" s="1" t="n">
        <v>46322</v>
      </c>
      <c r="F458" t="inlineStr">
        <is>
          <t>HALLANDS LÄN</t>
        </is>
      </c>
      <c r="G458" t="inlineStr">
        <is>
          <t>VARBERG</t>
        </is>
      </c>
      <c r="I458" t="n">
        <v>1.5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43640-2026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46315</v>
      </c>
      <c r="E459" s="1" t="n">
        <v>46322</v>
      </c>
      <c r="F459" t="inlineStr">
        <is>
          <t>HALLANDS LÄN</t>
        </is>
      </c>
      <c r="G459" t="inlineStr">
        <is>
          <t>VARBERG</t>
        </is>
      </c>
      <c r="I459" t="n">
        <v>1.9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44057-2026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46317</v>
      </c>
      <c r="E460" s="1" t="n">
        <v>46322</v>
      </c>
      <c r="F460" t="inlineStr">
        <is>
          <t>HALLANDS LÄN</t>
        </is>
      </c>
      <c r="G460" t="inlineStr">
        <is>
          <t>VARBERG</t>
        </is>
      </c>
      <c r="H460" t="inlineStr">
        <is>
          <t>Kyrkan</t>
        </is>
      </c>
      <c r="I460" t="n">
        <v>1.9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37065-2026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46273</v>
      </c>
      <c r="E461" s="1" t="n">
        <v>46322</v>
      </c>
      <c r="F461" t="inlineStr">
        <is>
          <t>HALLANDS LÄN</t>
        </is>
      </c>
      <c r="G461" t="inlineStr">
        <is>
          <t>VARBERG</t>
        </is>
      </c>
      <c r="I461" t="n">
        <v>5.2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37088-2026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46273</v>
      </c>
      <c r="E462" s="1" t="n">
        <v>46322</v>
      </c>
      <c r="F462" t="inlineStr">
        <is>
          <t>HALLANDS LÄN</t>
        </is>
      </c>
      <c r="G462" t="inlineStr">
        <is>
          <t>VARBERG</t>
        </is>
      </c>
      <c r="I462" t="n">
        <v>2.2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44059-2026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46317</v>
      </c>
      <c r="E463" s="1" t="n">
        <v>46322</v>
      </c>
      <c r="F463" t="inlineStr">
        <is>
          <t>HALLANDS LÄN</t>
        </is>
      </c>
      <c r="G463" t="inlineStr">
        <is>
          <t>VARBERG</t>
        </is>
      </c>
      <c r="H463" t="inlineStr">
        <is>
          <t>Kyrkan</t>
        </is>
      </c>
      <c r="I463" t="n">
        <v>1.1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37872-2026</t>
        </is>
      </c>
      <c r="B464" t="inlineStr">
        <is>
          <t>avverkningsanmälan</t>
        </is>
      </c>
      <c r="C464" t="inlineStr">
        <is>
          <t>Avverkning för annat ändamål</t>
        </is>
      </c>
      <c r="D464" s="1" t="n">
        <v>46279</v>
      </c>
      <c r="E464" s="1" t="n">
        <v>46322</v>
      </c>
      <c r="F464" t="inlineStr">
        <is>
          <t>HALLANDS LÄN</t>
        </is>
      </c>
      <c r="G464" t="inlineStr">
        <is>
          <t>VARBERG</t>
        </is>
      </c>
      <c r="I464" t="n">
        <v>1.9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55893-2025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45973</v>
      </c>
      <c r="E465" s="1" t="n">
        <v>46322</v>
      </c>
      <c r="F465" t="inlineStr">
        <is>
          <t>HALLANDS LÄN</t>
        </is>
      </c>
      <c r="G465" t="inlineStr">
        <is>
          <t>VARBERG</t>
        </is>
      </c>
      <c r="I465" t="n">
        <v>2.5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38615-2025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45884</v>
      </c>
      <c r="E466" s="1" t="n">
        <v>46322</v>
      </c>
      <c r="F466" t="inlineStr">
        <is>
          <t>HALLANDS LÄN</t>
        </is>
      </c>
      <c r="G466" t="inlineStr">
        <is>
          <t>VARBERG</t>
        </is>
      </c>
      <c r="I466" t="n">
        <v>2.1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S 6247-2022</t>
        </is>
      </c>
      <c r="B467" t="inlineStr">
        <is>
          <t>samrådsanmälan</t>
        </is>
      </c>
      <c r="C467" t="inlineStr">
        <is>
          <t>Annan skogsbruksåtgärd</t>
        </is>
      </c>
      <c r="D467" s="1" t="n">
        <v>44868</v>
      </c>
      <c r="E467" s="1" t="n">
        <v>46322</v>
      </c>
      <c r="F467" t="inlineStr">
        <is>
          <t>HALLANDS LÄN</t>
        </is>
      </c>
      <c r="G467" t="inlineStr">
        <is>
          <t>VARBERG</t>
        </is>
      </c>
      <c r="I467" t="n">
        <v>1.1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S 6873-2022</t>
        </is>
      </c>
      <c r="B468" t="inlineStr">
        <is>
          <t>samrådsanmälan</t>
        </is>
      </c>
      <c r="C468" t="inlineStr">
        <is>
          <t>Annan skogsbruksåtgärd</t>
        </is>
      </c>
      <c r="D468" s="1" t="n">
        <v>44895</v>
      </c>
      <c r="E468" s="1" t="n">
        <v>46322</v>
      </c>
      <c r="F468" t="inlineStr">
        <is>
          <t>HALLANDS LÄN</t>
        </is>
      </c>
      <c r="G468" t="inlineStr">
        <is>
          <t>VARBERG</t>
        </is>
      </c>
      <c r="I468" t="n">
        <v>1.7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S 81-2024</t>
        </is>
      </c>
      <c r="B469" t="inlineStr">
        <is>
          <t>samrådsanmälan</t>
        </is>
      </c>
      <c r="C469" t="inlineStr">
        <is>
          <t>Askåterföring</t>
        </is>
      </c>
      <c r="D469" s="1" t="n">
        <v>45300</v>
      </c>
      <c r="E469" s="1" t="n">
        <v>46322</v>
      </c>
      <c r="F469" t="inlineStr">
        <is>
          <t>HALLANDS LÄN</t>
        </is>
      </c>
      <c r="G469" t="inlineStr">
        <is>
          <t>VARBERG</t>
        </is>
      </c>
      <c r="I469" t="n">
        <v>4.8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S 9190-2021</t>
        </is>
      </c>
      <c r="B470" t="inlineStr">
        <is>
          <t>samrådsanmälan</t>
        </is>
      </c>
      <c r="C470" t="inlineStr">
        <is>
          <t>Skogsbilväg</t>
        </is>
      </c>
      <c r="D470" s="1" t="n">
        <v>44522</v>
      </c>
      <c r="E470" s="1" t="n">
        <v>46322</v>
      </c>
      <c r="F470" t="inlineStr">
        <is>
          <t>HALLANDS LÄN</t>
        </is>
      </c>
      <c r="G470" t="inlineStr">
        <is>
          <t>VARBERG</t>
        </is>
      </c>
      <c r="I470" t="n">
        <v>0.6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S 82-2024</t>
        </is>
      </c>
      <c r="B471" t="inlineStr">
        <is>
          <t>samrådsanmälan</t>
        </is>
      </c>
      <c r="C471" t="inlineStr">
        <is>
          <t>Askåterföring</t>
        </is>
      </c>
      <c r="D471" s="1" t="n">
        <v>45300</v>
      </c>
      <c r="E471" s="1" t="n">
        <v>46322</v>
      </c>
      <c r="F471" t="inlineStr">
        <is>
          <t>HALLANDS LÄN</t>
        </is>
      </c>
      <c r="G471" t="inlineStr">
        <is>
          <t>VARBERG</t>
        </is>
      </c>
      <c r="I471" t="n">
        <v>9.6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S 1525-2024</t>
        </is>
      </c>
      <c r="B472" t="inlineStr">
        <is>
          <t>samrådsanmälan</t>
        </is>
      </c>
      <c r="C472" t="inlineStr">
        <is>
          <t>Askåterföring</t>
        </is>
      </c>
      <c r="D472" s="1" t="n">
        <v>45425</v>
      </c>
      <c r="E472" s="1" t="n">
        <v>46322</v>
      </c>
      <c r="F472" t="inlineStr">
        <is>
          <t>HALLANDS LÄN</t>
        </is>
      </c>
      <c r="G472" t="inlineStr">
        <is>
          <t>VARBERG</t>
        </is>
      </c>
      <c r="I472" t="n">
        <v>21.5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S 1601-2024</t>
        </is>
      </c>
      <c r="B473" t="inlineStr">
        <is>
          <t>samrådsanmälan</t>
        </is>
      </c>
      <c r="C473" t="inlineStr">
        <is>
          <t>Skogsbilväg</t>
        </is>
      </c>
      <c r="D473" s="1" t="n">
        <v>45428</v>
      </c>
      <c r="E473" s="1" t="n">
        <v>46322</v>
      </c>
      <c r="F473" t="inlineStr">
        <is>
          <t>HALLANDS LÄN</t>
        </is>
      </c>
      <c r="G473" t="inlineStr">
        <is>
          <t>VARBERG</t>
        </is>
      </c>
      <c r="I473" t="n">
        <v>0.2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S 6863-2022</t>
        </is>
      </c>
      <c r="B474" t="inlineStr">
        <is>
          <t>samrådsanmälan</t>
        </is>
      </c>
      <c r="C474" t="inlineStr">
        <is>
          <t>Annan skogsbruksåtgärd</t>
        </is>
      </c>
      <c r="D474" s="1" t="n">
        <v>44895</v>
      </c>
      <c r="E474" s="1" t="n">
        <v>46322</v>
      </c>
      <c r="F474" t="inlineStr">
        <is>
          <t>HALLANDS LÄN</t>
        </is>
      </c>
      <c r="G474" t="inlineStr">
        <is>
          <t>VARBERG</t>
        </is>
      </c>
      <c r="I474" t="n">
        <v>1.7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S 3713-2024</t>
        </is>
      </c>
      <c r="B475" t="inlineStr">
        <is>
          <t>samrådsanmälan</t>
        </is>
      </c>
      <c r="C475" t="inlineStr">
        <is>
          <t>Dikesrensning</t>
        </is>
      </c>
      <c r="D475" s="1" t="n">
        <v>45554</v>
      </c>
      <c r="E475" s="1" t="n">
        <v>46322</v>
      </c>
      <c r="F475" t="inlineStr">
        <is>
          <t>HALLANDS LÄN</t>
        </is>
      </c>
      <c r="G475" t="inlineStr">
        <is>
          <t>VARBERG</t>
        </is>
      </c>
      <c r="I475" t="n">
        <v>1.8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S 630-2024</t>
        </is>
      </c>
      <c r="B476" t="inlineStr">
        <is>
          <t>samrådsanmälan</t>
        </is>
      </c>
      <c r="C476" t="inlineStr">
        <is>
          <t>Askåterföring</t>
        </is>
      </c>
      <c r="D476" s="1" t="n">
        <v>45355</v>
      </c>
      <c r="E476" s="1" t="n">
        <v>46322</v>
      </c>
      <c r="F476" t="inlineStr">
        <is>
          <t>HALLANDS LÄN</t>
        </is>
      </c>
      <c r="G476" t="inlineStr">
        <is>
          <t>VARBERG</t>
        </is>
      </c>
      <c r="I476" t="n">
        <v>20.4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S 75-2024</t>
        </is>
      </c>
      <c r="B477" t="inlineStr">
        <is>
          <t>samrådsanmälan</t>
        </is>
      </c>
      <c r="C477" t="inlineStr">
        <is>
          <t>Askåterföring</t>
        </is>
      </c>
      <c r="D477" s="1" t="n">
        <v>45300</v>
      </c>
      <c r="E477" s="1" t="n">
        <v>46322</v>
      </c>
      <c r="F477" t="inlineStr">
        <is>
          <t>HALLANDS LÄN</t>
        </is>
      </c>
      <c r="G477" t="inlineStr">
        <is>
          <t>VARBERG</t>
        </is>
      </c>
      <c r="I477" t="n">
        <v>28.2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S 2133-2025</t>
        </is>
      </c>
      <c r="B478" t="inlineStr">
        <is>
          <t>samrådsanmälan</t>
        </is>
      </c>
      <c r="C478" t="inlineStr">
        <is>
          <t>Annan skogsbruksåtgärd</t>
        </is>
      </c>
      <c r="D478" s="1" t="n">
        <v>45847</v>
      </c>
      <c r="E478" s="1" t="n">
        <v>46322</v>
      </c>
      <c r="F478" t="inlineStr">
        <is>
          <t>HALLANDS LÄN</t>
        </is>
      </c>
      <c r="G478" t="inlineStr">
        <is>
          <t>VARBERG</t>
        </is>
      </c>
      <c r="I478" t="n">
        <v>3.2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S 139-2026</t>
        </is>
      </c>
      <c r="B479" t="inlineStr">
        <is>
          <t>samrådsanmälan</t>
        </is>
      </c>
      <c r="C479" t="inlineStr">
        <is>
          <t>Askåterföring</t>
        </is>
      </c>
      <c r="D479" s="1" t="n">
        <v>46042</v>
      </c>
      <c r="E479" s="1" t="n">
        <v>46322</v>
      </c>
      <c r="F479" t="inlineStr">
        <is>
          <t>HALLANDS LÄN</t>
        </is>
      </c>
      <c r="G479" t="inlineStr">
        <is>
          <t>VARBERG</t>
        </is>
      </c>
      <c r="I479" t="n">
        <v>38.9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S 140-2026</t>
        </is>
      </c>
      <c r="B480" t="inlineStr">
        <is>
          <t>samrådsanmälan</t>
        </is>
      </c>
      <c r="C480" t="inlineStr">
        <is>
          <t>Askåterföring</t>
        </is>
      </c>
      <c r="D480" s="1" t="n">
        <v>46042</v>
      </c>
      <c r="E480" s="1" t="n">
        <v>46322</v>
      </c>
      <c r="F480" t="inlineStr">
        <is>
          <t>HALLANDS LÄN</t>
        </is>
      </c>
      <c r="G480" t="inlineStr">
        <is>
          <t>VARBERG</t>
        </is>
      </c>
      <c r="I480" t="n">
        <v>23.1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S 141-2026</t>
        </is>
      </c>
      <c r="B481" t="inlineStr">
        <is>
          <t>samrådsanmälan</t>
        </is>
      </c>
      <c r="C481" t="inlineStr">
        <is>
          <t>Askåterföring</t>
        </is>
      </c>
      <c r="D481" s="1" t="n">
        <v>46042</v>
      </c>
      <c r="E481" s="1" t="n">
        <v>46322</v>
      </c>
      <c r="F481" t="inlineStr">
        <is>
          <t>HALLANDS LÄN</t>
        </is>
      </c>
      <c r="G481" t="inlineStr">
        <is>
          <t>VARBERG</t>
        </is>
      </c>
      <c r="I481" t="n">
        <v>6.5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S 1400-2026</t>
        </is>
      </c>
      <c r="B482" t="inlineStr">
        <is>
          <t>samrådsanmälan</t>
        </is>
      </c>
      <c r="C482" t="inlineStr">
        <is>
          <t>Askåterföring</t>
        </is>
      </c>
      <c r="D482" s="1" t="n">
        <v>46154</v>
      </c>
      <c r="E482" s="1" t="n">
        <v>46322</v>
      </c>
      <c r="F482" t="inlineStr">
        <is>
          <t>HALLANDS LÄN</t>
        </is>
      </c>
      <c r="G482" t="inlineStr">
        <is>
          <t>VARBERG</t>
        </is>
      </c>
      <c r="I482" t="n">
        <v>15.4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S 1402-2026</t>
        </is>
      </c>
      <c r="B483" t="inlineStr">
        <is>
          <t>samrådsanmälan</t>
        </is>
      </c>
      <c r="C483" t="inlineStr">
        <is>
          <t>Askåterföring</t>
        </is>
      </c>
      <c r="D483" s="1" t="n">
        <v>46154</v>
      </c>
      <c r="E483" s="1" t="n">
        <v>46322</v>
      </c>
      <c r="F483" t="inlineStr">
        <is>
          <t>HALLANDS LÄN</t>
        </is>
      </c>
      <c r="G483" t="inlineStr">
        <is>
          <t>VARBERG</t>
        </is>
      </c>
      <c r="I483" t="n">
        <v>8.800000000000001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>
      <c r="A484" t="inlineStr">
        <is>
          <t>S 2273-2026</t>
        </is>
      </c>
      <c r="B484" t="inlineStr">
        <is>
          <t>samrådsanmälan</t>
        </is>
      </c>
      <c r="C484" t="inlineStr">
        <is>
          <t>Annan skogsbruksåtgärd</t>
        </is>
      </c>
      <c r="D484" s="1" t="n">
        <v>46264</v>
      </c>
      <c r="E484" s="1" t="n">
        <v>46322</v>
      </c>
      <c r="F484" t="inlineStr">
        <is>
          <t>HALLANDS LÄN</t>
        </is>
      </c>
      <c r="G484" t="inlineStr">
        <is>
          <t>VARBERG</t>
        </is>
      </c>
      <c r="I484" t="n">
        <v>0.6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2026-10-27T03:13:58Z</dcterms:created>
  <dcterms:modified xmlns:dcterms="http://purl.org/dc/terms/" xmlns:xsi="http://www.w3.org/2001/XMLSchema-instance" xsi:type="dcterms:W3CDTF">2026-10-27T03:13:59Z</dcterms:modified>
</cp:coreProperties>
</file>