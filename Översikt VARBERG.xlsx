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46291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46291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46291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46291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46291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46291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46291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46291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46291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46291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46291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46291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46291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46291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46291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46291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46291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46291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46291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46291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46291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46291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46291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46291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46291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46291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46291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46291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46291</v>
      </c>
      <c r="F30" t="inlineStr">
        <is>
          <t>HALLANDS LÄN</t>
        </is>
      </c>
      <c r="G30" t="inlineStr">
        <is>
          <t>VARBERG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 glada</t>
        </is>
      </c>
      <c r="W30">
        <f>HYPERLINK("https://klasma.github.io/Logging_1383/artfynd/A 42573-2022 artfynd.xlsx", "A 42573-2022")</f>
        <v/>
      </c>
      <c r="X30">
        <f>HYPERLINK("https://klasma.github.io/Logging_1383/kartor/A 42573-2022 karta.png", "A 42573-2022")</f>
        <v/>
      </c>
      <c r="Y30">
        <f>HYPERLINK("https://klasma.github.io/Logging_1383/kartor_geotiff/A 42573-2022 georefererad karta.tif", "A 42573-2022")</f>
        <v/>
      </c>
      <c r="AA30">
        <f>HYPERLINK("https://klasma.github.io/Logging_1383/klagomål/A 42573-2022 FSC-klagomål.docx", "A 42573-2022")</f>
        <v/>
      </c>
      <c r="AB30">
        <f>HYPERLINK("https://klasma.github.io/Logging_1383/klagomålsmail/A 42573-2022 FSC-klagomål mail.docx", "A 42573-2022")</f>
        <v/>
      </c>
      <c r="AC30">
        <f>HYPERLINK("https://klasma.github.io/Logging_1383/tillsyn/A 42573-2022 tillsynsbegäran.docx", "A 42573-2022")</f>
        <v/>
      </c>
      <c r="AD30">
        <f>HYPERLINK("https://klasma.github.io/Logging_1383/tillsynsmail/A 42573-2022 tillsynsbegäran mail.docx", "A 42573-2022")</f>
        <v/>
      </c>
      <c r="AE30">
        <f>HYPERLINK("https://klasma.github.io/Logging_1383/fåglar/A 42573-2022 prioriterade fågelarter.docx", "A 42573-2022")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46291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46291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46291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46291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38094-2026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46281</v>
      </c>
      <c r="E35" s="1" t="n">
        <v>46291</v>
      </c>
      <c r="F35" t="inlineStr">
        <is>
          <t>HALLANDS LÄN</t>
        </is>
      </c>
      <c r="G35" t="inlineStr">
        <is>
          <t>VARBERG</t>
        </is>
      </c>
      <c r="I35" t="n">
        <v>8.800000000000001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38094-2026 artfynd.xlsx", "A 38094-2026")</f>
        <v/>
      </c>
      <c r="X35">
        <f>HYPERLINK("https://klasma.github.io/Logging_1383/kartor/A 38094-2026 karta.png", "A 38094-2026")</f>
        <v/>
      </c>
      <c r="Y35">
        <f>HYPERLINK("https://klasma.github.io/Logging_1383/kartor_geotiff/A 38094-2026 georefererad karta.tif", "A 38094-2026")</f>
        <v/>
      </c>
      <c r="AA35">
        <f>HYPERLINK("https://klasma.github.io/Logging_1383/klagomål/A 38094-2026 FSC-klagomål.docx", "A 38094-2026")</f>
        <v/>
      </c>
      <c r="AB35">
        <f>HYPERLINK("https://klasma.github.io/Logging_1383/klagomålsmail/A 38094-2026 FSC-klagomål mail.docx", "A 38094-2026")</f>
        <v/>
      </c>
      <c r="AC35">
        <f>HYPERLINK("https://klasma.github.io/Logging_1383/tillsyn/A 38094-2026 tillsynsbegäran.docx", "A 38094-2026")</f>
        <v/>
      </c>
      <c r="AD35">
        <f>HYPERLINK("https://klasma.github.io/Logging_1383/tillsynsmail/A 38094-2026 tillsynsbegäran mail.docx", "A 38094-2026")</f>
        <v/>
      </c>
      <c r="AE35">
        <f>HYPERLINK("https://klasma.github.io/Logging_1383/fåglar/A 38094-2026 prioriterade fågelarter.docx", "A 38094-2026")</f>
        <v/>
      </c>
    </row>
    <row r="36" ht="15" customHeight="1">
      <c r="A36" t="inlineStr">
        <is>
          <t>A 58679-2023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46291</v>
      </c>
      <c r="F36" t="inlineStr">
        <is>
          <t>HALLANDS LÄN</t>
        </is>
      </c>
      <c r="G36" t="inlineStr">
        <is>
          <t>VARBERG</t>
        </is>
      </c>
      <c r="I36" t="n">
        <v>7.8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HYPERLINK("https://klasma.github.io/Logging_1383/artfynd/A 58679-2023 artfynd.xlsx", "A 58679-2023")</f>
        <v/>
      </c>
      <c r="X36">
        <f>HYPERLINK("https://klasma.github.io/Logging_1383/kartor/A 58679-2023 karta.png", "A 58679-2023")</f>
        <v/>
      </c>
      <c r="Y36">
        <f>HYPERLINK("https://klasma.github.io/Logging_1383/kartor_geotiff/A 58679-2023 georefererad karta.tif", "A 58679-2023")</f>
        <v/>
      </c>
      <c r="AA36">
        <f>HYPERLINK("https://klasma.github.io/Logging_1383/klagomål/A 58679-2023 FSC-klagomål.docx", "A 58679-2023")</f>
        <v/>
      </c>
      <c r="AB36">
        <f>HYPERLINK("https://klasma.github.io/Logging_1383/klagomålsmail/A 58679-2023 FSC-klagomål mail.docx", "A 58679-2023")</f>
        <v/>
      </c>
      <c r="AC36">
        <f>HYPERLINK("https://klasma.github.io/Logging_1383/tillsyn/A 58679-2023 tillsynsbegäran.docx", "A 58679-2023")</f>
        <v/>
      </c>
      <c r="AD36">
        <f>HYPERLINK("https://klasma.github.io/Logging_1383/tillsynsmail/A 58679-2023 tillsynsbegäran mail.docx", "A 58679-2023")</f>
        <v/>
      </c>
    </row>
    <row r="37" ht="15" customHeight="1">
      <c r="A37" t="inlineStr">
        <is>
          <t>A 53915-2021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46291</v>
      </c>
      <c r="F37" t="inlineStr">
        <is>
          <t>HALLANDS LÄN</t>
        </is>
      </c>
      <c r="G37" t="inlineStr">
        <is>
          <t>VARBERG</t>
        </is>
      </c>
      <c r="I37" t="n">
        <v>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Entita</t>
        </is>
      </c>
      <c r="W37">
        <f>HYPERLINK("https://klasma.github.io/Logging_1383/artfynd/A 53915-2021 artfynd.xlsx", "A 53915-2021")</f>
        <v/>
      </c>
      <c r="X37">
        <f>HYPERLINK("https://klasma.github.io/Logging_1383/kartor/A 53915-2021 karta.png", "A 53915-2021")</f>
        <v/>
      </c>
      <c r="Y37">
        <f>HYPERLINK("https://klasma.github.io/Logging_1383/kartor_geotiff/A 53915-2021 georefererad karta.tif", "A 53915-2021")</f>
        <v/>
      </c>
      <c r="AA37">
        <f>HYPERLINK("https://klasma.github.io/Logging_1383/klagomål/A 53915-2021 FSC-klagomål.docx", "A 53915-2021")</f>
        <v/>
      </c>
      <c r="AB37">
        <f>HYPERLINK("https://klasma.github.io/Logging_1383/klagomålsmail/A 53915-2021 FSC-klagomål mail.docx", "A 53915-2021")</f>
        <v/>
      </c>
      <c r="AC37">
        <f>HYPERLINK("https://klasma.github.io/Logging_1383/tillsyn/A 53915-2021 tillsynsbegäran.docx", "A 53915-2021")</f>
        <v/>
      </c>
      <c r="AD37">
        <f>HYPERLINK("https://klasma.github.io/Logging_1383/tillsynsmail/A 53915-2021 tillsynsbegäran mail.docx", "A 53915-2021")</f>
        <v/>
      </c>
      <c r="AE37">
        <f>HYPERLINK("https://klasma.github.io/Logging_1383/fåglar/A 53915-2021 prioriterade fågelarter.docx", "A 53915-2021")</f>
        <v/>
      </c>
    </row>
    <row r="38" ht="15" customHeight="1">
      <c r="A38" t="inlineStr">
        <is>
          <t>A 3481-2025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46291</v>
      </c>
      <c r="F38" t="inlineStr">
        <is>
          <t>HALLANDS LÄN</t>
        </is>
      </c>
      <c r="G38" t="inlineStr">
        <is>
          <t>VARBERG</t>
        </is>
      </c>
      <c r="I38" t="n">
        <v>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Bivråk</t>
        </is>
      </c>
      <c r="W38">
        <f>HYPERLINK("https://klasma.github.io/Logging_1383/artfynd/A 3481-2025 artfynd.xlsx", "A 3481-2025")</f>
        <v/>
      </c>
      <c r="X38">
        <f>HYPERLINK("https://klasma.github.io/Logging_1383/kartor/A 3481-2025 karta.png", "A 3481-2025")</f>
        <v/>
      </c>
      <c r="Y38">
        <f>HYPERLINK("https://klasma.github.io/Logging_1383/kartor_geotiff/A 3481-2025 georefererad karta.tif", "A 3481-2025")</f>
        <v/>
      </c>
      <c r="AA38">
        <f>HYPERLINK("https://klasma.github.io/Logging_1383/klagomål/A 3481-2025 FSC-klagomål.docx", "A 3481-2025")</f>
        <v/>
      </c>
      <c r="AB38">
        <f>HYPERLINK("https://klasma.github.io/Logging_1383/klagomålsmail/A 3481-2025 FSC-klagomål mail.docx", "A 3481-2025")</f>
        <v/>
      </c>
      <c r="AC38">
        <f>HYPERLINK("https://klasma.github.io/Logging_1383/tillsyn/A 3481-2025 tillsynsbegäran.docx", "A 3481-2025")</f>
        <v/>
      </c>
      <c r="AD38">
        <f>HYPERLINK("https://klasma.github.io/Logging_1383/tillsynsmail/A 3481-2025 tillsynsbegäran mail.docx", "A 3481-2025")</f>
        <v/>
      </c>
      <c r="AE38">
        <f>HYPERLINK("https://klasma.github.io/Logging_1383/fåglar/A 3481-2025 prioriterade fågelarter.docx", "A 3481-2025")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46291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46291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46291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46291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46291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46291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46291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46291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46291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46291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46291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46291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46291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46291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46291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46291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46291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46291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46291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46291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46291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46291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46291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46291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46291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46291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46291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46291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46291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46291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46291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46291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46291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46291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46291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46291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46291</v>
      </c>
      <c r="F75" t="inlineStr">
        <is>
          <t>HALLANDS LÄN</t>
        </is>
      </c>
      <c r="G75" t="inlineStr">
        <is>
          <t>VARBERG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46291</v>
      </c>
      <c r="F76" t="inlineStr">
        <is>
          <t>HALLANDS LÄN</t>
        </is>
      </c>
      <c r="G76" t="inlineStr">
        <is>
          <t>VARBERG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46291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46291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46291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46291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46291</v>
      </c>
      <c r="F81" t="inlineStr">
        <is>
          <t>HALLANDS LÄN</t>
        </is>
      </c>
      <c r="G81" t="inlineStr">
        <is>
          <t>VARBERG</t>
        </is>
      </c>
      <c r="H81" t="inlineStr">
        <is>
          <t>Kyrkan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46291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46291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45323</v>
      </c>
      <c r="E84" s="1" t="n">
        <v>46291</v>
      </c>
      <c r="F84" t="inlineStr">
        <is>
          <t>HALLANDS LÄN</t>
        </is>
      </c>
      <c r="G84" t="inlineStr">
        <is>
          <t>VARBERG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46291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46291</v>
      </c>
      <c r="F86" t="inlineStr">
        <is>
          <t>HALLANDS LÄN</t>
        </is>
      </c>
      <c r="G86" t="inlineStr">
        <is>
          <t>VARBERG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46291</v>
      </c>
      <c r="F87" t="inlineStr">
        <is>
          <t>HALLANDS LÄN</t>
        </is>
      </c>
      <c r="G87" t="inlineStr">
        <is>
          <t>VARBERG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46291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46291</v>
      </c>
      <c r="F89" t="inlineStr">
        <is>
          <t>HALLANDS LÄN</t>
        </is>
      </c>
      <c r="G89" t="inlineStr">
        <is>
          <t>VARBERG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46291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46291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46024</v>
      </c>
      <c r="E92" s="1" t="n">
        <v>46291</v>
      </c>
      <c r="F92" t="inlineStr">
        <is>
          <t>HALLANDS LÄN</t>
        </is>
      </c>
      <c r="G92" t="inlineStr">
        <is>
          <t>VARBERG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46291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46291</v>
      </c>
      <c r="F94" t="inlineStr">
        <is>
          <t>HALLANDS LÄN</t>
        </is>
      </c>
      <c r="G94" t="inlineStr">
        <is>
          <t>VARBERG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46291</v>
      </c>
      <c r="F95" t="inlineStr">
        <is>
          <t>HALLANDS LÄN</t>
        </is>
      </c>
      <c r="G95" t="inlineStr">
        <is>
          <t>VARBERG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46291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46291</v>
      </c>
      <c r="F97" t="inlineStr">
        <is>
          <t>HALLANDS LÄN</t>
        </is>
      </c>
      <c r="G97" t="inlineStr">
        <is>
          <t>VARBERG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46291</v>
      </c>
      <c r="F98" t="inlineStr">
        <is>
          <t>HALLANDS LÄN</t>
        </is>
      </c>
      <c r="G98" t="inlineStr">
        <is>
          <t>VARBERG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46291</v>
      </c>
      <c r="F99" t="inlineStr">
        <is>
          <t>HALLANDS LÄN</t>
        </is>
      </c>
      <c r="G99" t="inlineStr">
        <is>
          <t>VARBERG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46291</v>
      </c>
      <c r="F100" t="inlineStr">
        <is>
          <t>HALLANDS LÄN</t>
        </is>
      </c>
      <c r="G100" t="inlineStr">
        <is>
          <t>VARBERG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46291</v>
      </c>
      <c r="F101" t="inlineStr">
        <is>
          <t>HALLANDS LÄN</t>
        </is>
      </c>
      <c r="G101" t="inlineStr">
        <is>
          <t>VARBERG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46291</v>
      </c>
      <c r="F102" t="inlineStr">
        <is>
          <t>HALLANDS LÄN</t>
        </is>
      </c>
      <c r="G102" t="inlineStr">
        <is>
          <t>VARBERG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46291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46291</v>
      </c>
      <c r="F104" t="inlineStr">
        <is>
          <t>HALLANDS LÄN</t>
        </is>
      </c>
      <c r="G104" t="inlineStr">
        <is>
          <t>VARBERG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46291</v>
      </c>
      <c r="F105" t="inlineStr">
        <is>
          <t>HALLANDS LÄN</t>
        </is>
      </c>
      <c r="G105" t="inlineStr">
        <is>
          <t>VARBERG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46047</v>
      </c>
      <c r="E106" s="1" t="n">
        <v>46291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46047</v>
      </c>
      <c r="E107" s="1" t="n">
        <v>46291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46291</v>
      </c>
      <c r="F108" t="inlineStr">
        <is>
          <t>HALLANDS LÄN</t>
        </is>
      </c>
      <c r="G108" t="inlineStr">
        <is>
          <t>VARBERG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46291</v>
      </c>
      <c r="F109" t="inlineStr">
        <is>
          <t>HALLANDS LÄN</t>
        </is>
      </c>
      <c r="G109" t="inlineStr">
        <is>
          <t>VARBERG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46291</v>
      </c>
      <c r="F110" t="inlineStr">
        <is>
          <t>HALLANDS LÄN</t>
        </is>
      </c>
      <c r="G110" t="inlineStr">
        <is>
          <t>VARBERG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46291</v>
      </c>
      <c r="F111" t="inlineStr">
        <is>
          <t>HALLANDS LÄN</t>
        </is>
      </c>
      <c r="G111" t="inlineStr">
        <is>
          <t>VARBERG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46291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46291</v>
      </c>
      <c r="F113" t="inlineStr">
        <is>
          <t>HALLANDS LÄN</t>
        </is>
      </c>
      <c r="G113" t="inlineStr">
        <is>
          <t>VARBERG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46291</v>
      </c>
      <c r="F114" t="inlineStr">
        <is>
          <t>HALLANDS LÄN</t>
        </is>
      </c>
      <c r="G114" t="inlineStr">
        <is>
          <t>VARBERG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46291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46291</v>
      </c>
      <c r="F116" t="inlineStr">
        <is>
          <t>HALLANDS LÄN</t>
        </is>
      </c>
      <c r="G116" t="inlineStr">
        <is>
          <t>VARBERG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46291</v>
      </c>
      <c r="F117" t="inlineStr">
        <is>
          <t>HALLANDS LÄN</t>
        </is>
      </c>
      <c r="G117" t="inlineStr">
        <is>
          <t>VARBERG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46291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46291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46291</v>
      </c>
      <c r="F120" t="inlineStr">
        <is>
          <t>HALLANDS LÄN</t>
        </is>
      </c>
      <c r="G120" t="inlineStr">
        <is>
          <t>VARBERG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46291</v>
      </c>
      <c r="F121" t="inlineStr">
        <is>
          <t>HALLANDS LÄN</t>
        </is>
      </c>
      <c r="G121" t="inlineStr">
        <is>
          <t>VARBERG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46291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46291</v>
      </c>
      <c r="F123" t="inlineStr">
        <is>
          <t>HALLANDS LÄN</t>
        </is>
      </c>
      <c r="G123" t="inlineStr">
        <is>
          <t>VARBERG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46291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46291</v>
      </c>
      <c r="F125" t="inlineStr">
        <is>
          <t>HALLANDS LÄN</t>
        </is>
      </c>
      <c r="G125" t="inlineStr">
        <is>
          <t>VARBERG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46291</v>
      </c>
      <c r="F126" t="inlineStr">
        <is>
          <t>HALLANDS LÄN</t>
        </is>
      </c>
      <c r="G126" t="inlineStr">
        <is>
          <t>VARBERG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46291</v>
      </c>
      <c r="F127" t="inlineStr">
        <is>
          <t>HALLANDS LÄN</t>
        </is>
      </c>
      <c r="G127" t="inlineStr">
        <is>
          <t>VARBERG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46291</v>
      </c>
      <c r="F128" t="inlineStr">
        <is>
          <t>HALLANDS LÄN</t>
        </is>
      </c>
      <c r="G128" t="inlineStr">
        <is>
          <t>VARBERG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46291</v>
      </c>
      <c r="F129" t="inlineStr">
        <is>
          <t>HALLANDS LÄN</t>
        </is>
      </c>
      <c r="G129" t="inlineStr">
        <is>
          <t>VARBERG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46291</v>
      </c>
      <c r="F130" t="inlineStr">
        <is>
          <t>HALLANDS LÄN</t>
        </is>
      </c>
      <c r="G130" t="inlineStr">
        <is>
          <t>VARBERG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46291</v>
      </c>
      <c r="F131" t="inlineStr">
        <is>
          <t>HALLANDS LÄN</t>
        </is>
      </c>
      <c r="G131" t="inlineStr">
        <is>
          <t>VARBERG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45805</v>
      </c>
      <c r="E132" s="1" t="n">
        <v>46291</v>
      </c>
      <c r="F132" t="inlineStr">
        <is>
          <t>HALLANDS LÄN</t>
        </is>
      </c>
      <c r="G132" t="inlineStr">
        <is>
          <t>VARBERG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28092-2024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45476</v>
      </c>
      <c r="E133" s="1" t="n">
        <v>46291</v>
      </c>
      <c r="F133" t="inlineStr">
        <is>
          <t>HALLANDS LÄN</t>
        </is>
      </c>
      <c r="G133" t="inlineStr">
        <is>
          <t>VARBERG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46291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46291</v>
      </c>
      <c r="F135" t="inlineStr">
        <is>
          <t>HALLANDS LÄN</t>
        </is>
      </c>
      <c r="G135" t="inlineStr">
        <is>
          <t>VARBERG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46291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46291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44974</v>
      </c>
      <c r="E138" s="1" t="n">
        <v>46291</v>
      </c>
      <c r="F138" t="inlineStr">
        <is>
          <t>HALLANDS LÄN</t>
        </is>
      </c>
      <c r="G138" t="inlineStr">
        <is>
          <t>VARBERG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46291</v>
      </c>
      <c r="F139" t="inlineStr">
        <is>
          <t>HALLANDS LÄN</t>
        </is>
      </c>
      <c r="G139" t="inlineStr">
        <is>
          <t>VARBERG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46291</v>
      </c>
      <c r="F140" t="inlineStr">
        <is>
          <t>HALLANDS LÄN</t>
        </is>
      </c>
      <c r="G140" t="inlineStr">
        <is>
          <t>VARBERG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46291</v>
      </c>
      <c r="F141" t="inlineStr">
        <is>
          <t>HALLANDS LÄN</t>
        </is>
      </c>
      <c r="G141" t="inlineStr">
        <is>
          <t>VARBERG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13469-2026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46291</v>
      </c>
      <c r="F142" t="inlineStr">
        <is>
          <t>HALLANDS LÄN</t>
        </is>
      </c>
      <c r="G142" t="inlineStr">
        <is>
          <t>VARBERG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46291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46291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44980</v>
      </c>
      <c r="E145" s="1" t="n">
        <v>46291</v>
      </c>
      <c r="F145" t="inlineStr">
        <is>
          <t>HALLANDS LÄN</t>
        </is>
      </c>
      <c r="G145" t="inlineStr">
        <is>
          <t>VARBERG</t>
        </is>
      </c>
      <c r="H145" t="inlineStr">
        <is>
          <t>Övriga statliga verk och myndigheter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46291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46291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46291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46291</v>
      </c>
      <c r="F149" t="inlineStr">
        <is>
          <t>HALLANDS LÄN</t>
        </is>
      </c>
      <c r="G149" t="inlineStr">
        <is>
          <t>VARBERG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46291</v>
      </c>
      <c r="F150" t="inlineStr">
        <is>
          <t>HALLANDS LÄN</t>
        </is>
      </c>
      <c r="G150" t="inlineStr">
        <is>
          <t>VARBERG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46291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46291</v>
      </c>
      <c r="F152" t="inlineStr">
        <is>
          <t>HALLANDS LÄN</t>
        </is>
      </c>
      <c r="G152" t="inlineStr">
        <is>
          <t>VARBERG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46291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46291</v>
      </c>
      <c r="F154" t="inlineStr">
        <is>
          <t>HALLANDS LÄN</t>
        </is>
      </c>
      <c r="G154" t="inlineStr">
        <is>
          <t>VARBERG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46291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46291</v>
      </c>
      <c r="F156" t="inlineStr">
        <is>
          <t>HALLANDS LÄN</t>
        </is>
      </c>
      <c r="G156" t="inlineStr">
        <is>
          <t>VARBERG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46291</v>
      </c>
      <c r="F157" t="inlineStr">
        <is>
          <t>HALLANDS LÄN</t>
        </is>
      </c>
      <c r="G157" t="inlineStr">
        <is>
          <t>VARBERG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46291</v>
      </c>
      <c r="F158" t="inlineStr">
        <is>
          <t>HALLANDS LÄN</t>
        </is>
      </c>
      <c r="G158" t="inlineStr">
        <is>
          <t>VARBERG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46291</v>
      </c>
      <c r="F159" t="inlineStr">
        <is>
          <t>HALLANDS LÄN</t>
        </is>
      </c>
      <c r="G159" t="inlineStr">
        <is>
          <t>VARBERG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46291</v>
      </c>
      <c r="F160" t="inlineStr">
        <is>
          <t>HALLANDS LÄN</t>
        </is>
      </c>
      <c r="G160" t="inlineStr">
        <is>
          <t>VARBERG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46291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46291</v>
      </c>
      <c r="F162" t="inlineStr">
        <is>
          <t>HALLANDS LÄN</t>
        </is>
      </c>
      <c r="G162" t="inlineStr">
        <is>
          <t>VARBERG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46291</v>
      </c>
      <c r="F163" t="inlineStr">
        <is>
          <t>HALLANDS LÄN</t>
        </is>
      </c>
      <c r="G163" t="inlineStr">
        <is>
          <t>VARBERG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46291</v>
      </c>
      <c r="F164" t="inlineStr">
        <is>
          <t>HALLANDS LÄN</t>
        </is>
      </c>
      <c r="G164" t="inlineStr">
        <is>
          <t>VARBERG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46291</v>
      </c>
      <c r="F165" t="inlineStr">
        <is>
          <t>HALLANDS LÄN</t>
        </is>
      </c>
      <c r="G165" t="inlineStr">
        <is>
          <t>VARBERG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46291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46291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45131</v>
      </c>
      <c r="E168" s="1" t="n">
        <v>46291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46291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46291</v>
      </c>
      <c r="F170" t="inlineStr">
        <is>
          <t>HALLANDS LÄN</t>
        </is>
      </c>
      <c r="G170" t="inlineStr">
        <is>
          <t>VARBERG</t>
        </is>
      </c>
      <c r="H170" t="inlineStr">
        <is>
          <t>Övriga statliga verk och myndigheter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46291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19130-2026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46132</v>
      </c>
      <c r="E172" s="1" t="n">
        <v>46291</v>
      </c>
      <c r="F172" t="inlineStr">
        <is>
          <t>HALLANDS LÄN</t>
        </is>
      </c>
      <c r="G172" t="inlineStr">
        <is>
          <t>VARBERG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46291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46291</v>
      </c>
      <c r="F174" t="inlineStr">
        <is>
          <t>HALLANDS LÄN</t>
        </is>
      </c>
      <c r="G174" t="inlineStr">
        <is>
          <t>VARBERG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46291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46291</v>
      </c>
      <c r="F176" t="inlineStr">
        <is>
          <t>HALLANDS LÄN</t>
        </is>
      </c>
      <c r="G176" t="inlineStr">
        <is>
          <t>VARBERG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46291</v>
      </c>
      <c r="F177" t="inlineStr">
        <is>
          <t>HALLANDS LÄN</t>
        </is>
      </c>
      <c r="G177" t="inlineStr">
        <is>
          <t>VARBERG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46291</v>
      </c>
      <c r="F178" t="inlineStr">
        <is>
          <t>HALLANDS LÄN</t>
        </is>
      </c>
      <c r="G178" t="inlineStr">
        <is>
          <t>VARBERG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46291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46291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45487</v>
      </c>
      <c r="E181" s="1" t="n">
        <v>46291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46291</v>
      </c>
      <c r="F182" t="inlineStr">
        <is>
          <t>HALLANDS LÄN</t>
        </is>
      </c>
      <c r="G182" t="inlineStr">
        <is>
          <t>VARBERG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44649</v>
      </c>
      <c r="E183" s="1" t="n">
        <v>46291</v>
      </c>
      <c r="F183" t="inlineStr">
        <is>
          <t>HALLANDS LÄN</t>
        </is>
      </c>
      <c r="G183" t="inlineStr">
        <is>
          <t>VARBERG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46291</v>
      </c>
      <c r="F184" t="inlineStr">
        <is>
          <t>HALLANDS LÄN</t>
        </is>
      </c>
      <c r="G184" t="inlineStr">
        <is>
          <t>VARBERG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44649</v>
      </c>
      <c r="E185" s="1" t="n">
        <v>46291</v>
      </c>
      <c r="F185" t="inlineStr">
        <is>
          <t>HALLANDS LÄN</t>
        </is>
      </c>
      <c r="G185" t="inlineStr">
        <is>
          <t>VARBERG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46291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46291</v>
      </c>
      <c r="F187" t="inlineStr">
        <is>
          <t>HALLANDS LÄN</t>
        </is>
      </c>
      <c r="G187" t="inlineStr">
        <is>
          <t>VARBERG</t>
        </is>
      </c>
      <c r="H187" t="inlineStr">
        <is>
          <t>Övriga statliga verk och myndigheter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46291</v>
      </c>
      <c r="F188" t="inlineStr">
        <is>
          <t>HALLANDS LÄN</t>
        </is>
      </c>
      <c r="G188" t="inlineStr">
        <is>
          <t>VARBERG</t>
        </is>
      </c>
      <c r="H188" t="inlineStr">
        <is>
          <t>Övriga statliga verk och myndigheter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46291</v>
      </c>
      <c r="F189" t="inlineStr">
        <is>
          <t>HALLANDS LÄN</t>
        </is>
      </c>
      <c r="G189" t="inlineStr">
        <is>
          <t>VARBERG</t>
        </is>
      </c>
      <c r="H189" t="inlineStr">
        <is>
          <t>Övriga statliga verk och myndigheter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46291</v>
      </c>
      <c r="F190" t="inlineStr">
        <is>
          <t>HALLANDS LÄN</t>
        </is>
      </c>
      <c r="G190" t="inlineStr">
        <is>
          <t>VARBERG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46291</v>
      </c>
      <c r="F191" t="inlineStr">
        <is>
          <t>HALLANDS LÄN</t>
        </is>
      </c>
      <c r="G191" t="inlineStr">
        <is>
          <t>VARBERG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46291</v>
      </c>
      <c r="F192" t="inlineStr">
        <is>
          <t>HALLANDS LÄN</t>
        </is>
      </c>
      <c r="G192" t="inlineStr">
        <is>
          <t>VARBERG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46291</v>
      </c>
      <c r="F193" t="inlineStr">
        <is>
          <t>HALLANDS LÄN</t>
        </is>
      </c>
      <c r="G193" t="inlineStr">
        <is>
          <t>VARBERG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45852</v>
      </c>
      <c r="E194" s="1" t="n">
        <v>46291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46291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46291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46291</v>
      </c>
      <c r="F197" t="inlineStr">
        <is>
          <t>HALLANDS LÄN</t>
        </is>
      </c>
      <c r="G197" t="inlineStr">
        <is>
          <t>VARBERG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46291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46291</v>
      </c>
      <c r="F199" t="inlineStr">
        <is>
          <t>HALLANDS LÄN</t>
        </is>
      </c>
      <c r="G199" t="inlineStr">
        <is>
          <t>VARBERG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46291</v>
      </c>
      <c r="F200" t="inlineStr">
        <is>
          <t>HALLANDS LÄN</t>
        </is>
      </c>
      <c r="G200" t="inlineStr">
        <is>
          <t>VARBERG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46291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46291</v>
      </c>
      <c r="F202" t="inlineStr">
        <is>
          <t>HALLANDS LÄN</t>
        </is>
      </c>
      <c r="G202" t="inlineStr">
        <is>
          <t>VARBERG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46291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46291</v>
      </c>
      <c r="F204" t="inlineStr">
        <is>
          <t>HALLANDS LÄN</t>
        </is>
      </c>
      <c r="G204" t="inlineStr">
        <is>
          <t>VARBERG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46291</v>
      </c>
      <c r="F205" t="inlineStr">
        <is>
          <t>HALLANDS LÄN</t>
        </is>
      </c>
      <c r="G205" t="inlineStr">
        <is>
          <t>VARBERG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46291</v>
      </c>
      <c r="F206" t="inlineStr">
        <is>
          <t>HALLANDS LÄN</t>
        </is>
      </c>
      <c r="G206" t="inlineStr">
        <is>
          <t>VARBERG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46291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46291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46291</v>
      </c>
      <c r="F209" t="inlineStr">
        <is>
          <t>HALLANDS LÄN</t>
        </is>
      </c>
      <c r="G209" t="inlineStr">
        <is>
          <t>VARBERG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46291</v>
      </c>
      <c r="F210" t="inlineStr">
        <is>
          <t>HALLANDS LÄN</t>
        </is>
      </c>
      <c r="G210" t="inlineStr">
        <is>
          <t>VARBERG</t>
        </is>
      </c>
      <c r="H210" t="inlineStr">
        <is>
          <t>Övriga statliga verk och myndigheter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46291</v>
      </c>
      <c r="F211" t="inlineStr">
        <is>
          <t>HALLANDS LÄN</t>
        </is>
      </c>
      <c r="G211" t="inlineStr">
        <is>
          <t>VARBERG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46291</v>
      </c>
      <c r="F212" t="inlineStr">
        <is>
          <t>HALLANDS LÄN</t>
        </is>
      </c>
      <c r="G212" t="inlineStr">
        <is>
          <t>VARBERG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46010</v>
      </c>
      <c r="E213" s="1" t="n">
        <v>46291</v>
      </c>
      <c r="F213" t="inlineStr">
        <is>
          <t>HALLANDS LÄN</t>
        </is>
      </c>
      <c r="G213" t="inlineStr">
        <is>
          <t>VARBERG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46291</v>
      </c>
      <c r="F214" t="inlineStr">
        <is>
          <t>HALLANDS LÄN</t>
        </is>
      </c>
      <c r="G214" t="inlineStr">
        <is>
          <t>VARBERG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46291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46291</v>
      </c>
      <c r="F216" t="inlineStr">
        <is>
          <t>HALLANDS LÄN</t>
        </is>
      </c>
      <c r="G216" t="inlineStr">
        <is>
          <t>VARBERG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46291</v>
      </c>
      <c r="F217" t="inlineStr">
        <is>
          <t>HALLANDS LÄN</t>
        </is>
      </c>
      <c r="G217" t="inlineStr">
        <is>
          <t>VARBERG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46291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46291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46291</v>
      </c>
      <c r="F220" t="inlineStr">
        <is>
          <t>HALLANDS LÄN</t>
        </is>
      </c>
      <c r="G220" t="inlineStr">
        <is>
          <t>VARBERG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45509</v>
      </c>
      <c r="E221" s="1" t="n">
        <v>46291</v>
      </c>
      <c r="F221" t="inlineStr">
        <is>
          <t>HALLANDS LÄN</t>
        </is>
      </c>
      <c r="G221" t="inlineStr">
        <is>
          <t>VARBERG</t>
        </is>
      </c>
      <c r="H221" t="inlineStr">
        <is>
          <t>Kyrkan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46291</v>
      </c>
      <c r="F222" t="inlineStr">
        <is>
          <t>HALLANDS LÄN</t>
        </is>
      </c>
      <c r="G222" t="inlineStr">
        <is>
          <t>VARBERG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46291</v>
      </c>
      <c r="F223" t="inlineStr">
        <is>
          <t>HALLANDS LÄN</t>
        </is>
      </c>
      <c r="G223" t="inlineStr">
        <is>
          <t>VARBERG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45055</v>
      </c>
      <c r="E224" s="1" t="n">
        <v>46291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45785</v>
      </c>
      <c r="E225" s="1" t="n">
        <v>46291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46291</v>
      </c>
      <c r="F226" t="inlineStr">
        <is>
          <t>HALLANDS LÄN</t>
        </is>
      </c>
      <c r="G226" t="inlineStr">
        <is>
          <t>VARBERG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45075</v>
      </c>
      <c r="E227" s="1" t="n">
        <v>46291</v>
      </c>
      <c r="F227" t="inlineStr">
        <is>
          <t>HALLANDS LÄN</t>
        </is>
      </c>
      <c r="G227" t="inlineStr">
        <is>
          <t>VARBERG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46291</v>
      </c>
      <c r="F228" t="inlineStr">
        <is>
          <t>HALLANDS LÄN</t>
        </is>
      </c>
      <c r="G228" t="inlineStr">
        <is>
          <t>VARBERG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46291</v>
      </c>
      <c r="F229" t="inlineStr">
        <is>
          <t>HALLANDS LÄN</t>
        </is>
      </c>
      <c r="G229" t="inlineStr">
        <is>
          <t>VARBERG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46291</v>
      </c>
      <c r="F230" t="inlineStr">
        <is>
          <t>HALLANDS LÄN</t>
        </is>
      </c>
      <c r="G230" t="inlineStr">
        <is>
          <t>VARBERG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46291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46291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46291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46291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46291</v>
      </c>
      <c r="F235" t="inlineStr">
        <is>
          <t>HALLANDS LÄN</t>
        </is>
      </c>
      <c r="G235" t="inlineStr">
        <is>
          <t>VARBERG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46291</v>
      </c>
      <c r="F236" t="inlineStr">
        <is>
          <t>HALLANDS LÄN</t>
        </is>
      </c>
      <c r="G236" t="inlineStr">
        <is>
          <t>VARBERG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46291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46291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46291</v>
      </c>
      <c r="F239" t="inlineStr">
        <is>
          <t>HALLANDS LÄN</t>
        </is>
      </c>
      <c r="G239" t="inlineStr">
        <is>
          <t>VARBERG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46291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46291</v>
      </c>
      <c r="F241" t="inlineStr">
        <is>
          <t>HALLANDS LÄN</t>
        </is>
      </c>
      <c r="G241" t="inlineStr">
        <is>
          <t>VARBERG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46291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46291</v>
      </c>
      <c r="F243" t="inlineStr">
        <is>
          <t>HALLANDS LÄN</t>
        </is>
      </c>
      <c r="G243" t="inlineStr">
        <is>
          <t>VARBERG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46291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46291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46291</v>
      </c>
      <c r="F246" t="inlineStr">
        <is>
          <t>HALLANDS LÄN</t>
        </is>
      </c>
      <c r="G246" t="inlineStr">
        <is>
          <t>VARBERG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46291</v>
      </c>
      <c r="F247" t="inlineStr">
        <is>
          <t>HALLANDS LÄN</t>
        </is>
      </c>
      <c r="G247" t="inlineStr">
        <is>
          <t>VARBERG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46291</v>
      </c>
      <c r="F248" t="inlineStr">
        <is>
          <t>HALLANDS LÄN</t>
        </is>
      </c>
      <c r="G248" t="inlineStr">
        <is>
          <t>VARBERG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46291</v>
      </c>
      <c r="F249" t="inlineStr">
        <is>
          <t>HALLANDS LÄN</t>
        </is>
      </c>
      <c r="G249" t="inlineStr">
        <is>
          <t>VARBERG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54048-2021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44470</v>
      </c>
      <c r="E250" s="1" t="n">
        <v>46291</v>
      </c>
      <c r="F250" t="inlineStr">
        <is>
          <t>HALLANDS LÄN</t>
        </is>
      </c>
      <c r="G250" t="inlineStr">
        <is>
          <t>VARBERG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46291</v>
      </c>
      <c r="F251" t="inlineStr">
        <is>
          <t>HALLANDS LÄN</t>
        </is>
      </c>
      <c r="G251" t="inlineStr">
        <is>
          <t>VARBERG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46291</v>
      </c>
      <c r="F252" t="inlineStr">
        <is>
          <t>HALLANDS LÄN</t>
        </is>
      </c>
      <c r="G252" t="inlineStr">
        <is>
          <t>VARBERG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46291</v>
      </c>
      <c r="F253" t="inlineStr">
        <is>
          <t>HALLANDS LÄN</t>
        </is>
      </c>
      <c r="G253" t="inlineStr">
        <is>
          <t>VARBERG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46161</v>
      </c>
      <c r="E254" s="1" t="n">
        <v>46291</v>
      </c>
      <c r="F254" t="inlineStr">
        <is>
          <t>HALLANDS LÄN</t>
        </is>
      </c>
      <c r="G254" t="inlineStr">
        <is>
          <t>VARBERG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46291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46291</v>
      </c>
      <c r="F256" t="inlineStr">
        <is>
          <t>HALLANDS LÄN</t>
        </is>
      </c>
      <c r="G256" t="inlineStr">
        <is>
          <t>VARBERG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46291</v>
      </c>
      <c r="F257" t="inlineStr">
        <is>
          <t>HALLANDS LÄN</t>
        </is>
      </c>
      <c r="G257" t="inlineStr">
        <is>
          <t>VARBERG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46291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46291</v>
      </c>
      <c r="F259" t="inlineStr">
        <is>
          <t>HALLANDS LÄN</t>
        </is>
      </c>
      <c r="G259" t="inlineStr">
        <is>
          <t>VARBERG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46291</v>
      </c>
      <c r="F260" t="inlineStr">
        <is>
          <t>HALLANDS LÄN</t>
        </is>
      </c>
      <c r="G260" t="inlineStr">
        <is>
          <t>VARBERG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46291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45580</v>
      </c>
      <c r="E262" s="1" t="n">
        <v>46291</v>
      </c>
      <c r="F262" t="inlineStr">
        <is>
          <t>HALLANDS LÄN</t>
        </is>
      </c>
      <c r="G262" t="inlineStr">
        <is>
          <t>VARBERG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46291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46291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46291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46291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46291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46168</v>
      </c>
      <c r="E268" s="1" t="n">
        <v>46291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46291</v>
      </c>
      <c r="F269" t="inlineStr">
        <is>
          <t>HALLANDS LÄN</t>
        </is>
      </c>
      <c r="G269" t="inlineStr">
        <is>
          <t>VARBERG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46291</v>
      </c>
      <c r="F270" t="inlineStr">
        <is>
          <t>HALLANDS LÄN</t>
        </is>
      </c>
      <c r="G270" t="inlineStr">
        <is>
          <t>VARBERG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71841-2021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46291</v>
      </c>
      <c r="F271" t="inlineStr">
        <is>
          <t>HALLANDS LÄN</t>
        </is>
      </c>
      <c r="G271" t="inlineStr">
        <is>
          <t>VARBERG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46291</v>
      </c>
      <c r="F272" t="inlineStr">
        <is>
          <t>HALLANDS LÄN</t>
        </is>
      </c>
      <c r="G272" t="inlineStr">
        <is>
          <t>VARBERG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46291</v>
      </c>
      <c r="F273" t="inlineStr">
        <is>
          <t>HALLANDS LÄN</t>
        </is>
      </c>
      <c r="G273" t="inlineStr">
        <is>
          <t>VARBERG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46291</v>
      </c>
      <c r="F274" t="inlineStr">
        <is>
          <t>HALLANDS LÄN</t>
        </is>
      </c>
      <c r="G274" t="inlineStr">
        <is>
          <t>VARBERG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46291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9235-2023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44980</v>
      </c>
      <c r="E276" s="1" t="n">
        <v>46291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46291</v>
      </c>
      <c r="F277" t="inlineStr">
        <is>
          <t>HALLANDS LÄN</t>
        </is>
      </c>
      <c r="G277" t="inlineStr">
        <is>
          <t>VARBERG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46291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64767-2023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45281</v>
      </c>
      <c r="E279" s="1" t="n">
        <v>46291</v>
      </c>
      <c r="F279" t="inlineStr">
        <is>
          <t>HALLANDS LÄN</t>
        </is>
      </c>
      <c r="G279" t="inlineStr">
        <is>
          <t>VARBERG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46291</v>
      </c>
      <c r="F280" t="inlineStr">
        <is>
          <t>HALLANDS LÄN</t>
        </is>
      </c>
      <c r="G280" t="inlineStr">
        <is>
          <t>VARBERG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46291</v>
      </c>
      <c r="F281" t="inlineStr">
        <is>
          <t>HALLANDS LÄN</t>
        </is>
      </c>
      <c r="G281" t="inlineStr">
        <is>
          <t>VARBERG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46291</v>
      </c>
      <c r="F282" t="inlineStr">
        <is>
          <t>HALLANDS LÄN</t>
        </is>
      </c>
      <c r="G282" t="inlineStr">
        <is>
          <t>VARBERG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46291</v>
      </c>
      <c r="F283" t="inlineStr">
        <is>
          <t>HALLANDS LÄN</t>
        </is>
      </c>
      <c r="G283" t="inlineStr">
        <is>
          <t>VARBERG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46291</v>
      </c>
      <c r="F284" t="inlineStr">
        <is>
          <t>HALLANDS LÄN</t>
        </is>
      </c>
      <c r="G284" t="inlineStr">
        <is>
          <t>VARBERG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46291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46291</v>
      </c>
      <c r="F286" t="inlineStr">
        <is>
          <t>HALLANDS LÄN</t>
        </is>
      </c>
      <c r="G286" t="inlineStr">
        <is>
          <t>VARBERG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45200</v>
      </c>
      <c r="E287" s="1" t="n">
        <v>46291</v>
      </c>
      <c r="F287" t="inlineStr">
        <is>
          <t>HALLANDS LÄN</t>
        </is>
      </c>
      <c r="G287" t="inlineStr">
        <is>
          <t>VARBERG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49760-2024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45597</v>
      </c>
      <c r="E288" s="1" t="n">
        <v>46291</v>
      </c>
      <c r="F288" t="inlineStr">
        <is>
          <t>HALLANDS LÄN</t>
        </is>
      </c>
      <c r="G288" t="inlineStr">
        <is>
          <t>VARBERG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46291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46291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46291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46291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44982</v>
      </c>
      <c r="E293" s="1" t="n">
        <v>46291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46291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46291</v>
      </c>
      <c r="F295" t="inlineStr">
        <is>
          <t>HALLANDS LÄN</t>
        </is>
      </c>
      <c r="G295" t="inlineStr">
        <is>
          <t>VARBERG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46291</v>
      </c>
      <c r="F296" t="inlineStr">
        <is>
          <t>HALLANDS LÄN</t>
        </is>
      </c>
      <c r="G296" t="inlineStr">
        <is>
          <t>VARBERG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44829</v>
      </c>
      <c r="E297" s="1" t="n">
        <v>46291</v>
      </c>
      <c r="F297" t="inlineStr">
        <is>
          <t>HALLANDS LÄN</t>
        </is>
      </c>
      <c r="G297" t="inlineStr">
        <is>
          <t>VARBERG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46291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46291</v>
      </c>
      <c r="F299" t="inlineStr">
        <is>
          <t>HALLANDS LÄN</t>
        </is>
      </c>
      <c r="G299" t="inlineStr">
        <is>
          <t>VARBERG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46291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45582</v>
      </c>
      <c r="E301" s="1" t="n">
        <v>46291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45313</v>
      </c>
      <c r="E302" s="1" t="n">
        <v>46291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46291</v>
      </c>
      <c r="F303" t="inlineStr">
        <is>
          <t>HALLANDS LÄN</t>
        </is>
      </c>
      <c r="G303" t="inlineStr">
        <is>
          <t>VARBERG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44767</v>
      </c>
      <c r="E304" s="1" t="n">
        <v>46291</v>
      </c>
      <c r="F304" t="inlineStr">
        <is>
          <t>HALLANDS LÄN</t>
        </is>
      </c>
      <c r="G304" t="inlineStr">
        <is>
          <t>VARBERG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44767</v>
      </c>
      <c r="E305" s="1" t="n">
        <v>46291</v>
      </c>
      <c r="F305" t="inlineStr">
        <is>
          <t>HALLANDS LÄN</t>
        </is>
      </c>
      <c r="G305" t="inlineStr">
        <is>
          <t>VARBERG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46291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46291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46291</v>
      </c>
      <c r="F308" t="inlineStr">
        <is>
          <t>HALLANDS LÄN</t>
        </is>
      </c>
      <c r="G308" t="inlineStr">
        <is>
          <t>VARBERG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45434</v>
      </c>
      <c r="E309" s="1" t="n">
        <v>46291</v>
      </c>
      <c r="F309" t="inlineStr">
        <is>
          <t>HALLANDS LÄN</t>
        </is>
      </c>
      <c r="G309" t="inlineStr">
        <is>
          <t>VARBERG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46291</v>
      </c>
      <c r="F310" t="inlineStr">
        <is>
          <t>HALLANDS LÄN</t>
        </is>
      </c>
      <c r="G310" t="inlineStr">
        <is>
          <t>VARBERG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45487</v>
      </c>
      <c r="E311" s="1" t="n">
        <v>46291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44818</v>
      </c>
      <c r="E312" s="1" t="n">
        <v>46291</v>
      </c>
      <c r="F312" t="inlineStr">
        <is>
          <t>HALLANDS LÄN</t>
        </is>
      </c>
      <c r="G312" t="inlineStr">
        <is>
          <t>VARBERG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44831</v>
      </c>
      <c r="E313" s="1" t="n">
        <v>46291</v>
      </c>
      <c r="F313" t="inlineStr">
        <is>
          <t>HALLANDS LÄN</t>
        </is>
      </c>
      <c r="G313" t="inlineStr">
        <is>
          <t>VARBERG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46291</v>
      </c>
      <c r="F314" t="inlineStr">
        <is>
          <t>HALLANDS LÄN</t>
        </is>
      </c>
      <c r="G314" t="inlineStr">
        <is>
          <t>VARBERG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46291</v>
      </c>
      <c r="F315" t="inlineStr">
        <is>
          <t>HALLANDS LÄN</t>
        </is>
      </c>
      <c r="G315" t="inlineStr">
        <is>
          <t>VARBERG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46291</v>
      </c>
      <c r="F316" t="inlineStr">
        <is>
          <t>HALLANDS LÄN</t>
        </is>
      </c>
      <c r="G316" t="inlineStr">
        <is>
          <t>VARBERG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46291</v>
      </c>
      <c r="F317" t="inlineStr">
        <is>
          <t>HALLANDS LÄN</t>
        </is>
      </c>
      <c r="G317" t="inlineStr">
        <is>
          <t>VARBERG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45086</v>
      </c>
      <c r="E318" s="1" t="n">
        <v>46291</v>
      </c>
      <c r="F318" t="inlineStr">
        <is>
          <t>HALLANDS LÄN</t>
        </is>
      </c>
      <c r="G318" t="inlineStr">
        <is>
          <t>VARBERG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46291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46291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46291</v>
      </c>
      <c r="F321" t="inlineStr">
        <is>
          <t>HALLANDS LÄN</t>
        </is>
      </c>
      <c r="G321" t="inlineStr">
        <is>
          <t>VARBERG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46291</v>
      </c>
      <c r="F322" t="inlineStr">
        <is>
          <t>HALLANDS LÄN</t>
        </is>
      </c>
      <c r="G322" t="inlineStr">
        <is>
          <t>VARBERG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46291</v>
      </c>
      <c r="F323" t="inlineStr">
        <is>
          <t>HALLANDS LÄN</t>
        </is>
      </c>
      <c r="G323" t="inlineStr">
        <is>
          <t>VARBERG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46291</v>
      </c>
      <c r="F324" t="inlineStr">
        <is>
          <t>HALLANDS LÄN</t>
        </is>
      </c>
      <c r="G324" t="inlineStr">
        <is>
          <t>VARBERG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46291</v>
      </c>
      <c r="F325" t="inlineStr">
        <is>
          <t>HALLANDS LÄN</t>
        </is>
      </c>
      <c r="G325" t="inlineStr">
        <is>
          <t>VARBERG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46291</v>
      </c>
      <c r="F326" t="inlineStr">
        <is>
          <t>HALLANDS LÄN</t>
        </is>
      </c>
      <c r="G326" t="inlineStr">
        <is>
          <t>VARBERG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46291</v>
      </c>
      <c r="F327" t="inlineStr">
        <is>
          <t>HALLANDS LÄN</t>
        </is>
      </c>
      <c r="G327" t="inlineStr">
        <is>
          <t>VARBERG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46291</v>
      </c>
      <c r="F328" t="inlineStr">
        <is>
          <t>HALLANDS LÄN</t>
        </is>
      </c>
      <c r="G328" t="inlineStr">
        <is>
          <t>VARBERG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46291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46291</v>
      </c>
      <c r="F330" t="inlineStr">
        <is>
          <t>HALLANDS LÄN</t>
        </is>
      </c>
      <c r="G330" t="inlineStr">
        <is>
          <t>VARBERG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45672</v>
      </c>
      <c r="E331" s="1" t="n">
        <v>46291</v>
      </c>
      <c r="F331" t="inlineStr">
        <is>
          <t>HALLANDS LÄN</t>
        </is>
      </c>
      <c r="G331" t="inlineStr">
        <is>
          <t>VARBERG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46291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44649</v>
      </c>
      <c r="E333" s="1" t="n">
        <v>46291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45366</v>
      </c>
      <c r="E334" s="1" t="n">
        <v>46291</v>
      </c>
      <c r="F334" t="inlineStr">
        <is>
          <t>HALLANDS LÄN</t>
        </is>
      </c>
      <c r="G334" t="inlineStr">
        <is>
          <t>VARBERG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45638</v>
      </c>
      <c r="E335" s="1" t="n">
        <v>46291</v>
      </c>
      <c r="F335" t="inlineStr">
        <is>
          <t>HALLANDS LÄN</t>
        </is>
      </c>
      <c r="G335" t="inlineStr">
        <is>
          <t>VARBERG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46291</v>
      </c>
      <c r="F336" t="inlineStr">
        <is>
          <t>HALLANDS LÄN</t>
        </is>
      </c>
      <c r="G336" t="inlineStr">
        <is>
          <t>VARBERG</t>
        </is>
      </c>
      <c r="H336" t="inlineStr">
        <is>
          <t>Övriga statliga verk och myndigheter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46291</v>
      </c>
      <c r="F337" t="inlineStr">
        <is>
          <t>HALLANDS LÄN</t>
        </is>
      </c>
      <c r="G337" t="inlineStr">
        <is>
          <t>VARBERG</t>
        </is>
      </c>
      <c r="H337" t="inlineStr">
        <is>
          <t>Övriga statliga verk och myndigheter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46291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46291</v>
      </c>
      <c r="F339" t="inlineStr">
        <is>
          <t>HALLANDS LÄN</t>
        </is>
      </c>
      <c r="G339" t="inlineStr">
        <is>
          <t>VARBERG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46291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46291</v>
      </c>
      <c r="F341" t="inlineStr">
        <is>
          <t>HALLANDS LÄN</t>
        </is>
      </c>
      <c r="G341" t="inlineStr">
        <is>
          <t>VARBERG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46291</v>
      </c>
      <c r="F342" t="inlineStr">
        <is>
          <t>HALLANDS LÄN</t>
        </is>
      </c>
      <c r="G342" t="inlineStr">
        <is>
          <t>VARBERG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46291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46210</v>
      </c>
      <c r="E344" s="1" t="n">
        <v>46291</v>
      </c>
      <c r="F344" t="inlineStr">
        <is>
          <t>HALLANDS LÄN</t>
        </is>
      </c>
      <c r="G344" t="inlineStr">
        <is>
          <t>VARBERG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46291</v>
      </c>
      <c r="F345" t="inlineStr">
        <is>
          <t>HALLANDS LÄN</t>
        </is>
      </c>
      <c r="G345" t="inlineStr">
        <is>
          <t>VARBERG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46291</v>
      </c>
      <c r="F346" t="inlineStr">
        <is>
          <t>HALLANDS LÄN</t>
        </is>
      </c>
      <c r="G346" t="inlineStr">
        <is>
          <t>VARBERG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46291</v>
      </c>
      <c r="F347" t="inlineStr">
        <is>
          <t>HALLANDS LÄN</t>
        </is>
      </c>
      <c r="G347" t="inlineStr">
        <is>
          <t>VARBERG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46255</v>
      </c>
      <c r="E348" s="1" t="n">
        <v>46291</v>
      </c>
      <c r="F348" t="inlineStr">
        <is>
          <t>HALLANDS LÄN</t>
        </is>
      </c>
      <c r="G348" t="inlineStr">
        <is>
          <t>VARBERG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46291</v>
      </c>
      <c r="F349" t="inlineStr">
        <is>
          <t>HALLANDS LÄN</t>
        </is>
      </c>
      <c r="G349" t="inlineStr">
        <is>
          <t>VARBERG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46291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46291</v>
      </c>
      <c r="F351" t="inlineStr">
        <is>
          <t>HALLANDS LÄN</t>
        </is>
      </c>
      <c r="G351" t="inlineStr">
        <is>
          <t>VARBERG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61075-2023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45261</v>
      </c>
      <c r="E352" s="1" t="n">
        <v>46291</v>
      </c>
      <c r="F352" t="inlineStr">
        <is>
          <t>HALLANDS LÄN</t>
        </is>
      </c>
      <c r="G352" t="inlineStr">
        <is>
          <t>VARBERG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46255</v>
      </c>
      <c r="E353" s="1" t="n">
        <v>46291</v>
      </c>
      <c r="F353" t="inlineStr">
        <is>
          <t>HALLANDS LÄN</t>
        </is>
      </c>
      <c r="G353" t="inlineStr">
        <is>
          <t>VARBERG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44649</v>
      </c>
      <c r="E354" s="1" t="n">
        <v>46291</v>
      </c>
      <c r="F354" t="inlineStr">
        <is>
          <t>HALLANDS LÄN</t>
        </is>
      </c>
      <c r="G354" t="inlineStr">
        <is>
          <t>VARBERG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51932-2024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45607</v>
      </c>
      <c r="E355" s="1" t="n">
        <v>46291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46291</v>
      </c>
      <c r="F356" t="inlineStr">
        <is>
          <t>HALLANDS LÄN</t>
        </is>
      </c>
      <c r="G356" t="inlineStr">
        <is>
          <t>VARBERG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9614-2024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45361</v>
      </c>
      <c r="E357" s="1" t="n">
        <v>46291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46291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46291</v>
      </c>
      <c r="F359" t="inlineStr">
        <is>
          <t>HALLANDS LÄN</t>
        </is>
      </c>
      <c r="G359" t="inlineStr">
        <is>
          <t>VARBERG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45401</v>
      </c>
      <c r="E360" s="1" t="n">
        <v>46291</v>
      </c>
      <c r="F360" t="inlineStr">
        <is>
          <t>HALLANDS LÄN</t>
        </is>
      </c>
      <c r="G360" t="inlineStr">
        <is>
          <t>VARBERG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46291</v>
      </c>
      <c r="F361" t="inlineStr">
        <is>
          <t>HALLANDS LÄN</t>
        </is>
      </c>
      <c r="G361" t="inlineStr">
        <is>
          <t>VARBERG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46291</v>
      </c>
      <c r="F362" t="inlineStr">
        <is>
          <t>HALLANDS LÄN</t>
        </is>
      </c>
      <c r="G362" t="inlineStr">
        <is>
          <t>VARBERG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46291</v>
      </c>
      <c r="F363" t="inlineStr">
        <is>
          <t>HALLANDS LÄN</t>
        </is>
      </c>
      <c r="G363" t="inlineStr">
        <is>
          <t>VARBERG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45328</v>
      </c>
      <c r="E364" s="1" t="n">
        <v>46291</v>
      </c>
      <c r="F364" t="inlineStr">
        <is>
          <t>HALLANDS LÄN</t>
        </is>
      </c>
      <c r="G364" t="inlineStr">
        <is>
          <t>VARBERG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46291</v>
      </c>
      <c r="F365" t="inlineStr">
        <is>
          <t>HALLANDS LÄN</t>
        </is>
      </c>
      <c r="G365" t="inlineStr">
        <is>
          <t>VARBERG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45397</v>
      </c>
      <c r="E366" s="1" t="n">
        <v>46291</v>
      </c>
      <c r="F366" t="inlineStr">
        <is>
          <t>HALLANDS LÄN</t>
        </is>
      </c>
      <c r="G366" t="inlineStr">
        <is>
          <t>VARBERG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45513</v>
      </c>
      <c r="E367" s="1" t="n">
        <v>46291</v>
      </c>
      <c r="F367" t="inlineStr">
        <is>
          <t>HALLANDS LÄN</t>
        </is>
      </c>
      <c r="G367" t="inlineStr">
        <is>
          <t>VARBERG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45717</v>
      </c>
      <c r="E368" s="1" t="n">
        <v>46291</v>
      </c>
      <c r="F368" t="inlineStr">
        <is>
          <t>HALLANDS LÄN</t>
        </is>
      </c>
      <c r="G368" t="inlineStr">
        <is>
          <t>VARBERG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46291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2464-2024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45313</v>
      </c>
      <c r="E370" s="1" t="n">
        <v>46291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46291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46291</v>
      </c>
      <c r="F372" t="inlineStr">
        <is>
          <t>HALLANDS LÄN</t>
        </is>
      </c>
      <c r="G372" t="inlineStr">
        <is>
          <t>VARBERG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46771-2022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46291</v>
      </c>
      <c r="F373" t="inlineStr">
        <is>
          <t>HALLANDS LÄN</t>
        </is>
      </c>
      <c r="G373" t="inlineStr">
        <is>
          <t>VARBERG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46273</v>
      </c>
      <c r="E374" s="1" t="n">
        <v>46291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45272</v>
      </c>
      <c r="E375" s="1" t="n">
        <v>46291</v>
      </c>
      <c r="F375" t="inlineStr">
        <is>
          <t>HALLANDS LÄN</t>
        </is>
      </c>
      <c r="G375" t="inlineStr">
        <is>
          <t>VARBERG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46234</v>
      </c>
      <c r="E376" s="1" t="n">
        <v>46291</v>
      </c>
      <c r="F376" t="inlineStr">
        <is>
          <t>HALLANDS LÄN</t>
        </is>
      </c>
      <c r="G376" t="inlineStr">
        <is>
          <t>VARBERG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46291</v>
      </c>
      <c r="F377" t="inlineStr">
        <is>
          <t>HALLANDS LÄN</t>
        </is>
      </c>
      <c r="G377" t="inlineStr">
        <is>
          <t>VARBERG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46291</v>
      </c>
      <c r="F378" t="inlineStr">
        <is>
          <t>HALLANDS LÄN</t>
        </is>
      </c>
      <c r="G378" t="inlineStr">
        <is>
          <t>VARBERG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46291</v>
      </c>
      <c r="F379" t="inlineStr">
        <is>
          <t>HALLANDS LÄN</t>
        </is>
      </c>
      <c r="G379" t="inlineStr">
        <is>
          <t>VARBERG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46291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36424-2026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46269</v>
      </c>
      <c r="E381" s="1" t="n">
        <v>46291</v>
      </c>
      <c r="F381" t="inlineStr">
        <is>
          <t>HALLANDS LÄN</t>
        </is>
      </c>
      <c r="G381" t="inlineStr">
        <is>
          <t>VARBERG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46291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46291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46291</v>
      </c>
      <c r="F384" t="inlineStr">
        <is>
          <t>HALLANDS LÄN</t>
        </is>
      </c>
      <c r="G384" t="inlineStr">
        <is>
          <t>VARBERG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46291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46291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37872-2026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46279</v>
      </c>
      <c r="E387" s="1" t="n">
        <v>46291</v>
      </c>
      <c r="F387" t="inlineStr">
        <is>
          <t>HALLANDS LÄN</t>
        </is>
      </c>
      <c r="G387" t="inlineStr">
        <is>
          <t>VARBERG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46291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44622</v>
      </c>
      <c r="E389" s="1" t="n">
        <v>46291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46291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9819-2022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44620</v>
      </c>
      <c r="E391" s="1" t="n">
        <v>46291</v>
      </c>
      <c r="F391" t="inlineStr">
        <is>
          <t>HALLANDS LÄN</t>
        </is>
      </c>
      <c r="G391" t="inlineStr">
        <is>
          <t>VARBERG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46291</v>
      </c>
      <c r="F392" t="inlineStr">
        <is>
          <t>HALLANDS LÄN</t>
        </is>
      </c>
      <c r="G392" t="inlineStr">
        <is>
          <t>VARBERG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57557-2022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46291</v>
      </c>
      <c r="F393" t="inlineStr">
        <is>
          <t>HALLANDS LÄN</t>
        </is>
      </c>
      <c r="G393" t="inlineStr">
        <is>
          <t>VARBERG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46288</v>
      </c>
      <c r="E394" s="1" t="n">
        <v>46291</v>
      </c>
      <c r="F394" t="inlineStr">
        <is>
          <t>HALLANDS LÄN</t>
        </is>
      </c>
      <c r="G394" t="inlineStr">
        <is>
          <t>VARBERG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46291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44470</v>
      </c>
      <c r="E396" s="1" t="n">
        <v>46291</v>
      </c>
      <c r="F396" t="inlineStr">
        <is>
          <t>HALLANDS LÄN</t>
        </is>
      </c>
      <c r="G396" t="inlineStr">
        <is>
          <t>VARBERG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46291</v>
      </c>
      <c r="F397" t="inlineStr">
        <is>
          <t>HALLANDS LÄN</t>
        </is>
      </c>
      <c r="G397" t="inlineStr">
        <is>
          <t>VARBERG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36423-2026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46269</v>
      </c>
      <c r="E398" s="1" t="n">
        <v>46291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36425-2026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46269</v>
      </c>
      <c r="E399" s="1" t="n">
        <v>46291</v>
      </c>
      <c r="F399" t="inlineStr">
        <is>
          <t>HALLANDS LÄN</t>
        </is>
      </c>
      <c r="G399" t="inlineStr">
        <is>
          <t>VARBERG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46291</v>
      </c>
      <c r="F400" t="inlineStr">
        <is>
          <t>HALLANDS LÄN</t>
        </is>
      </c>
      <c r="G400" t="inlineStr">
        <is>
          <t>VARBERG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46291</v>
      </c>
      <c r="F401" t="inlineStr">
        <is>
          <t>HALLANDS LÄN</t>
        </is>
      </c>
      <c r="G401" t="inlineStr">
        <is>
          <t>VARBERG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44770</v>
      </c>
      <c r="E402" s="1" t="n">
        <v>46291</v>
      </c>
      <c r="F402" t="inlineStr">
        <is>
          <t>HALLANDS LÄN</t>
        </is>
      </c>
      <c r="G402" t="inlineStr">
        <is>
          <t>VARBERG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46291</v>
      </c>
      <c r="F403" t="inlineStr">
        <is>
          <t>HALLANDS LÄN</t>
        </is>
      </c>
      <c r="G403" t="inlineStr">
        <is>
          <t>VARBERG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45140</v>
      </c>
      <c r="E404" s="1" t="n">
        <v>46291</v>
      </c>
      <c r="F404" t="inlineStr">
        <is>
          <t>HALLANDS LÄN</t>
        </is>
      </c>
      <c r="G404" t="inlineStr">
        <is>
          <t>VARBERG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46291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45014</v>
      </c>
      <c r="E406" s="1" t="n">
        <v>46291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55038-2022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44886</v>
      </c>
      <c r="E407" s="1" t="n">
        <v>46291</v>
      </c>
      <c r="F407" t="inlineStr">
        <is>
          <t>HALLANDS LÄN</t>
        </is>
      </c>
      <c r="G407" t="inlineStr">
        <is>
          <t>VARBERG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46291</v>
      </c>
      <c r="F408" t="inlineStr">
        <is>
          <t>HALLANDS LÄN</t>
        </is>
      </c>
      <c r="G408" t="inlineStr">
        <is>
          <t>VARBERG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35140-2022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44797</v>
      </c>
      <c r="E409" s="1" t="n">
        <v>46291</v>
      </c>
      <c r="F409" t="inlineStr">
        <is>
          <t>HALLANDS LÄN</t>
        </is>
      </c>
      <c r="G409" t="inlineStr">
        <is>
          <t>VARBERG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44981</v>
      </c>
      <c r="E410" s="1" t="n">
        <v>46291</v>
      </c>
      <c r="F410" t="inlineStr">
        <is>
          <t>HALLANDS LÄN</t>
        </is>
      </c>
      <c r="G410" t="inlineStr">
        <is>
          <t>VARBERG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45582</v>
      </c>
      <c r="E411" s="1" t="n">
        <v>46291</v>
      </c>
      <c r="F411" t="inlineStr">
        <is>
          <t>HALLANDS LÄN</t>
        </is>
      </c>
      <c r="G411" t="inlineStr">
        <is>
          <t>VARBERG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46291</v>
      </c>
      <c r="F412" t="inlineStr">
        <is>
          <t>HALLANDS LÄN</t>
        </is>
      </c>
      <c r="G412" t="inlineStr">
        <is>
          <t>VARBERG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44749</v>
      </c>
      <c r="E413" s="1" t="n">
        <v>46291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46291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44981</v>
      </c>
      <c r="E415" s="1" t="n">
        <v>46291</v>
      </c>
      <c r="F415" t="inlineStr">
        <is>
          <t>HALLANDS LÄN</t>
        </is>
      </c>
      <c r="G415" t="inlineStr">
        <is>
          <t>VARBERG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64488-2021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44511</v>
      </c>
      <c r="E416" s="1" t="n">
        <v>46291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46291</v>
      </c>
      <c r="F417" t="inlineStr">
        <is>
          <t>HALLANDS LÄN</t>
        </is>
      </c>
      <c r="G417" t="inlineStr">
        <is>
          <t>VARBERG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46291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44659</v>
      </c>
      <c r="E419" s="1" t="n">
        <v>46291</v>
      </c>
      <c r="F419" t="inlineStr">
        <is>
          <t>HALLANDS LÄN</t>
        </is>
      </c>
      <c r="G419" t="inlineStr">
        <is>
          <t>VARBERG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46291</v>
      </c>
      <c r="F420" t="inlineStr">
        <is>
          <t>HALLANDS LÄN</t>
        </is>
      </c>
      <c r="G420" t="inlineStr">
        <is>
          <t>VARBERG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46291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46291</v>
      </c>
      <c r="F422" t="inlineStr">
        <is>
          <t>HALLANDS LÄN</t>
        </is>
      </c>
      <c r="G422" t="inlineStr">
        <is>
          <t>VARBERG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45587</v>
      </c>
      <c r="E423" s="1" t="n">
        <v>46291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46291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46291</v>
      </c>
      <c r="F425" t="inlineStr">
        <is>
          <t>HALLANDS LÄN</t>
        </is>
      </c>
      <c r="G425" t="inlineStr">
        <is>
          <t>VARBERG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44641</v>
      </c>
      <c r="E426" s="1" t="n">
        <v>46291</v>
      </c>
      <c r="F426" t="inlineStr">
        <is>
          <t>HALLANDS LÄN</t>
        </is>
      </c>
      <c r="G426" t="inlineStr">
        <is>
          <t>VARBERG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46291</v>
      </c>
      <c r="F427" t="inlineStr">
        <is>
          <t>HALLANDS LÄN</t>
        </is>
      </c>
      <c r="G427" t="inlineStr">
        <is>
          <t>VARBERG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46291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46291</v>
      </c>
      <c r="F429" t="inlineStr">
        <is>
          <t>HALLANDS LÄN</t>
        </is>
      </c>
      <c r="G429" t="inlineStr">
        <is>
          <t>VARBERG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46291</v>
      </c>
      <c r="F430" t="inlineStr">
        <is>
          <t>HALLANDS LÄN</t>
        </is>
      </c>
      <c r="G430" t="inlineStr">
        <is>
          <t>VARBERG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44875</v>
      </c>
      <c r="E431" s="1" t="n">
        <v>46291</v>
      </c>
      <c r="F431" t="inlineStr">
        <is>
          <t>HALLANDS LÄN</t>
        </is>
      </c>
      <c r="G431" t="inlineStr">
        <is>
          <t>VARBERG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46291</v>
      </c>
      <c r="F432" t="inlineStr">
        <is>
          <t>HALLANDS LÄN</t>
        </is>
      </c>
      <c r="G432" t="inlineStr">
        <is>
          <t>VARBERG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14312-2022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44652</v>
      </c>
      <c r="E433" s="1" t="n">
        <v>46291</v>
      </c>
      <c r="F433" t="inlineStr">
        <is>
          <t>HALLANDS LÄN</t>
        </is>
      </c>
      <c r="G433" t="inlineStr">
        <is>
          <t>VARBERG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46291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46291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46291</v>
      </c>
      <c r="F436" t="inlineStr">
        <is>
          <t>HALLANDS LÄN</t>
        </is>
      </c>
      <c r="G436" t="inlineStr">
        <is>
          <t>VARBERG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46291</v>
      </c>
      <c r="F437" t="inlineStr">
        <is>
          <t>HALLANDS LÄN</t>
        </is>
      </c>
      <c r="G437" t="inlineStr">
        <is>
          <t>VARBERG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44935</v>
      </c>
      <c r="E438" s="1" t="n">
        <v>46291</v>
      </c>
      <c r="F438" t="inlineStr">
        <is>
          <t>HALLANDS LÄN</t>
        </is>
      </c>
      <c r="G438" t="inlineStr">
        <is>
          <t>VARBERG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45436</v>
      </c>
      <c r="E439" s="1" t="n">
        <v>46291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13600-2025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45736</v>
      </c>
      <c r="E440" s="1" t="n">
        <v>46291</v>
      </c>
      <c r="F440" t="inlineStr">
        <is>
          <t>HALLANDS LÄN</t>
        </is>
      </c>
      <c r="G440" t="inlineStr">
        <is>
          <t>VARBERG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44811</v>
      </c>
      <c r="E441" s="1" t="n">
        <v>46291</v>
      </c>
      <c r="F441" t="inlineStr">
        <is>
          <t>HALLANDS LÄN</t>
        </is>
      </c>
      <c r="G441" t="inlineStr">
        <is>
          <t>VARBERG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46291</v>
      </c>
      <c r="F442" t="inlineStr">
        <is>
          <t>HALLANDS LÄN</t>
        </is>
      </c>
      <c r="G442" t="inlineStr">
        <is>
          <t>VARBERG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46291</v>
      </c>
      <c r="F443" t="inlineStr">
        <is>
          <t>HALLANDS LÄN</t>
        </is>
      </c>
      <c r="G443" t="inlineStr">
        <is>
          <t>VARBERG</t>
        </is>
      </c>
      <c r="H443" t="inlineStr">
        <is>
          <t>Kyrkan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46291</v>
      </c>
      <c r="F444" t="inlineStr">
        <is>
          <t>HALLANDS LÄN</t>
        </is>
      </c>
      <c r="G444" t="inlineStr">
        <is>
          <t>VARBERG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46291</v>
      </c>
      <c r="F445" t="inlineStr">
        <is>
          <t>HALLANDS LÄN</t>
        </is>
      </c>
      <c r="G445" t="inlineStr">
        <is>
          <t>VARBERG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45364</v>
      </c>
      <c r="E446" s="1" t="n">
        <v>46291</v>
      </c>
      <c r="F446" t="inlineStr">
        <is>
          <t>HALLANDS LÄN</t>
        </is>
      </c>
      <c r="G446" t="inlineStr">
        <is>
          <t>VARBERG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46291</v>
      </c>
      <c r="F447" t="inlineStr">
        <is>
          <t>HALLANDS LÄN</t>
        </is>
      </c>
      <c r="G447" t="inlineStr">
        <is>
          <t>VARBERG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45722</v>
      </c>
      <c r="E448" s="1" t="n">
        <v>46291</v>
      </c>
      <c r="F448" t="inlineStr">
        <is>
          <t>HALLANDS LÄN</t>
        </is>
      </c>
      <c r="G448" t="inlineStr">
        <is>
          <t>VARBERG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46291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46291</v>
      </c>
      <c r="F450" t="inlineStr">
        <is>
          <t>HALLANDS LÄN</t>
        </is>
      </c>
      <c r="G450" t="inlineStr">
        <is>
          <t>VARBERG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46291</v>
      </c>
      <c r="F451" t="inlineStr">
        <is>
          <t>HALLANDS LÄN</t>
        </is>
      </c>
      <c r="G451" t="inlineStr">
        <is>
          <t>VARBERG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46291</v>
      </c>
      <c r="F452" t="inlineStr">
        <is>
          <t>HALLANDS LÄN</t>
        </is>
      </c>
      <c r="G452" t="inlineStr">
        <is>
          <t>VARBERG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46291</v>
      </c>
      <c r="F453" t="inlineStr">
        <is>
          <t>HALLANDS LÄN</t>
        </is>
      </c>
      <c r="G453" t="inlineStr">
        <is>
          <t>VARBERG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45754</v>
      </c>
      <c r="E454" s="1" t="n">
        <v>46291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45184</v>
      </c>
      <c r="E455" s="1" t="n">
        <v>46291</v>
      </c>
      <c r="F455" t="inlineStr">
        <is>
          <t>HALLANDS LÄN</t>
        </is>
      </c>
      <c r="G455" t="inlineStr">
        <is>
          <t>VARBERG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45310</v>
      </c>
      <c r="E456" s="1" t="n">
        <v>46291</v>
      </c>
      <c r="F456" t="inlineStr">
        <is>
          <t>HALLANDS LÄN</t>
        </is>
      </c>
      <c r="G456" t="inlineStr">
        <is>
          <t>VARBERG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46291</v>
      </c>
      <c r="F457" t="inlineStr">
        <is>
          <t>HALLANDS LÄN</t>
        </is>
      </c>
      <c r="G457" t="inlineStr">
        <is>
          <t>VARBERG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45378</v>
      </c>
      <c r="E458" s="1" t="n">
        <v>46291</v>
      </c>
      <c r="F458" t="inlineStr">
        <is>
          <t>HALLANDS LÄN</t>
        </is>
      </c>
      <c r="G458" t="inlineStr">
        <is>
          <t>VARBERG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46291</v>
      </c>
      <c r="F459" t="inlineStr">
        <is>
          <t>HALLANDS LÄN</t>
        </is>
      </c>
      <c r="G459" t="inlineStr">
        <is>
          <t>VARBERG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46291</v>
      </c>
      <c r="F460" t="inlineStr">
        <is>
          <t>HALLANDS LÄN</t>
        </is>
      </c>
      <c r="G460" t="inlineStr">
        <is>
          <t>VARBERG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46291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46291</v>
      </c>
      <c r="F462" t="inlineStr">
        <is>
          <t>HALLANDS LÄN</t>
        </is>
      </c>
      <c r="G462" t="inlineStr">
        <is>
          <t>VARBERG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6247-2022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44868</v>
      </c>
      <c r="E463" s="1" t="n">
        <v>46291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6873-2022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46291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46291</v>
      </c>
      <c r="F465" t="inlineStr">
        <is>
          <t>HALLANDS LÄN</t>
        </is>
      </c>
      <c r="G465" t="inlineStr">
        <is>
          <t>VARBERG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9190-2021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44522</v>
      </c>
      <c r="E466" s="1" t="n">
        <v>46291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82-2024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46291</v>
      </c>
      <c r="F467" t="inlineStr">
        <is>
          <t>HALLANDS LÄN</t>
        </is>
      </c>
      <c r="G467" t="inlineStr">
        <is>
          <t>VARBERG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1525-2024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45425</v>
      </c>
      <c r="E468" s="1" t="n">
        <v>46291</v>
      </c>
      <c r="F468" t="inlineStr">
        <is>
          <t>HALLANDS LÄN</t>
        </is>
      </c>
      <c r="G468" t="inlineStr">
        <is>
          <t>VARBERG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1601-2024</t>
        </is>
      </c>
      <c r="B469" t="inlineStr">
        <is>
          <t>samrådsanmälan</t>
        </is>
      </c>
      <c r="C469" t="inlineStr">
        <is>
          <t>Skogsbilväg</t>
        </is>
      </c>
      <c r="D469" s="1" t="n">
        <v>45428</v>
      </c>
      <c r="E469" s="1" t="n">
        <v>46291</v>
      </c>
      <c r="F469" t="inlineStr">
        <is>
          <t>HALLANDS LÄN</t>
        </is>
      </c>
      <c r="G469" t="inlineStr">
        <is>
          <t>VARBERG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6863-2022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44895</v>
      </c>
      <c r="E470" s="1" t="n">
        <v>46291</v>
      </c>
      <c r="F470" t="inlineStr">
        <is>
          <t>HALLANDS LÄN</t>
        </is>
      </c>
      <c r="G470" t="inlineStr">
        <is>
          <t>VARBERG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3713-2024</t>
        </is>
      </c>
      <c r="B471" t="inlineStr">
        <is>
          <t>samrådsanmälan</t>
        </is>
      </c>
      <c r="C471" t="inlineStr">
        <is>
          <t>Dikesrensning</t>
        </is>
      </c>
      <c r="D471" s="1" t="n">
        <v>45554</v>
      </c>
      <c r="E471" s="1" t="n">
        <v>46291</v>
      </c>
      <c r="F471" t="inlineStr">
        <is>
          <t>HALLANDS LÄN</t>
        </is>
      </c>
      <c r="G471" t="inlineStr">
        <is>
          <t>VARBERG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630-2024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45355</v>
      </c>
      <c r="E472" s="1" t="n">
        <v>46291</v>
      </c>
      <c r="F472" t="inlineStr">
        <is>
          <t>HALLANDS LÄN</t>
        </is>
      </c>
      <c r="G472" t="inlineStr">
        <is>
          <t>VARBERG</t>
        </is>
      </c>
      <c r="I472" t="n">
        <v>20.4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45300</v>
      </c>
      <c r="E473" s="1" t="n">
        <v>46291</v>
      </c>
      <c r="F473" t="inlineStr">
        <is>
          <t>HALLANDS LÄN</t>
        </is>
      </c>
      <c r="G473" t="inlineStr">
        <is>
          <t>VARBERG</t>
        </is>
      </c>
      <c r="I473" t="n">
        <v>28.2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7377-2021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44470</v>
      </c>
      <c r="E474" s="1" t="n">
        <v>46291</v>
      </c>
      <c r="F474" t="inlineStr">
        <is>
          <t>HALLANDS LÄN</t>
        </is>
      </c>
      <c r="G474" t="inlineStr">
        <is>
          <t>VARBERG</t>
        </is>
      </c>
      <c r="I474" t="n">
        <v>45.3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2133-2025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45847</v>
      </c>
      <c r="E475" s="1" t="n">
        <v>46291</v>
      </c>
      <c r="F475" t="inlineStr">
        <is>
          <t>HALLANDS LÄN</t>
        </is>
      </c>
      <c r="G475" t="inlineStr">
        <is>
          <t>VARBERG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139-2026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46291</v>
      </c>
      <c r="F476" t="inlineStr">
        <is>
          <t>HALLANDS LÄN</t>
        </is>
      </c>
      <c r="G476" t="inlineStr">
        <is>
          <t>VARBERG</t>
        </is>
      </c>
      <c r="I476" t="n">
        <v>38.9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46291</v>
      </c>
      <c r="F477" t="inlineStr">
        <is>
          <t>HALLANDS LÄN</t>
        </is>
      </c>
      <c r="G477" t="inlineStr">
        <is>
          <t>VARBERG</t>
        </is>
      </c>
      <c r="I477" t="n">
        <v>23.1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141-2026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46291</v>
      </c>
      <c r="F478" t="inlineStr">
        <is>
          <t>HALLANDS LÄN</t>
        </is>
      </c>
      <c r="G478" t="inlineStr">
        <is>
          <t>VARBERG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46291</v>
      </c>
      <c r="F479" t="inlineStr">
        <is>
          <t>HALLANDS LÄN</t>
        </is>
      </c>
      <c r="G479" t="inlineStr">
        <is>
          <t>VARBERG</t>
        </is>
      </c>
      <c r="I479" t="n">
        <v>15.4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1402-2026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46291</v>
      </c>
      <c r="F480" t="inlineStr">
        <is>
          <t>HALLANDS LÄN</t>
        </is>
      </c>
      <c r="G480" t="inlineStr">
        <is>
          <t>VARBERG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2273-2026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46264</v>
      </c>
      <c r="E481" s="1" t="n">
        <v>46291</v>
      </c>
      <c r="F481" t="inlineStr">
        <is>
          <t>HALLANDS LÄN</t>
        </is>
      </c>
      <c r="G481" t="inlineStr">
        <is>
          <t>VARBERG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2026-09-26T02:02:25Z</dcterms:created>
  <dcterms:modified xmlns:dcterms="http://purl.org/dc/terms/" xmlns:xsi="http://www.w3.org/2001/XMLSchema-instance" xsi:type="dcterms:W3CDTF">2026-09-26T02:02:25Z</dcterms:modified>
</cp:coreProperties>
</file>