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46305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46305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46305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46305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46305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46305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46305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46305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7038-2024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46305</v>
      </c>
      <c r="F20" t="inlineStr">
        <is>
          <t>HALLANDS LÄN</t>
        </is>
      </c>
      <c r="G20" t="inlineStr">
        <is>
          <t>VARBERG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Dvärgjohannesört</t>
        </is>
      </c>
      <c r="W20">
        <f>HYPERLINK("https://klasma.github.io/Logging_1383/artfynd/A 7038-2024 artfynd.xlsx", "A 7038-2024")</f>
        <v/>
      </c>
      <c r="X20">
        <f>HYPERLINK("https://klasma.github.io/Logging_1383/kartor/A 7038-2024 karta.png", "A 7038-2024")</f>
        <v/>
      </c>
      <c r="Y20">
        <f>HYPERLINK("https://klasma.github.io/Logging_1383/kartor_geotiff/A 7038-2024 georefererad karta.tif", "A 7038-2024")</f>
        <v/>
      </c>
      <c r="AA20">
        <f>HYPERLINK("https://klasma.github.io/Logging_1383/klagomål/A 7038-2024 FSC-klagomål.docx", "A 7038-2024")</f>
        <v/>
      </c>
      <c r="AB20">
        <f>HYPERLINK("https://klasma.github.io/Logging_1383/klagomålsmail/A 7038-2024 FSC-klagomål mail.docx", "A 7038-2024")</f>
        <v/>
      </c>
      <c r="AC20">
        <f>HYPERLINK("https://klasma.github.io/Logging_1383/tillsyn/A 7038-2024 tillsynsbegäran.docx", "A 7038-2024")</f>
        <v/>
      </c>
      <c r="AD20">
        <f>HYPERLINK("https://klasma.github.io/Logging_1383/tillsynsmail/A 7038-2024 tillsynsbegäran mail.docx", "A 7038-2024")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46305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46305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34833-2023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45141</v>
      </c>
      <c r="E23" s="1" t="n">
        <v>46305</v>
      </c>
      <c r="F23" t="inlineStr">
        <is>
          <t>HALLANDS LÄN</t>
        </is>
      </c>
      <c r="G23" t="inlineStr">
        <is>
          <t>VARBERG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HYPERLINK("https://klasma.github.io/Logging_1383/artfynd/A 34833-2023 artfynd.xlsx", "A 34833-2023")</f>
        <v/>
      </c>
      <c r="X23">
        <f>HYPERLINK("https://klasma.github.io/Logging_1383/kartor/A 34833-2023 karta.png", "A 34833-2023")</f>
        <v/>
      </c>
      <c r="Y23">
        <f>HYPERLINK("https://klasma.github.io/Logging_1383/kartor_geotiff/A 34833-2023 georefererad karta.tif", "A 34833-2023")</f>
        <v/>
      </c>
      <c r="AA23">
        <f>HYPERLINK("https://klasma.github.io/Logging_1383/klagomål/A 34833-2023 FSC-klagomål.docx", "A 34833-2023")</f>
        <v/>
      </c>
      <c r="AB23">
        <f>HYPERLINK("https://klasma.github.io/Logging_1383/klagomålsmail/A 34833-2023 FSC-klagomål mail.docx", "A 34833-2023")</f>
        <v/>
      </c>
      <c r="AC23">
        <f>HYPERLINK("https://klasma.github.io/Logging_1383/tillsyn/A 34833-2023 tillsynsbegäran.docx", "A 34833-2023")</f>
        <v/>
      </c>
      <c r="AD23">
        <f>HYPERLINK("https://klasma.github.io/Logging_1383/tillsynsmail/A 34833-2023 tillsynsbegäran mail.docx", "A 34833-2023")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46305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20045-2024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45434</v>
      </c>
      <c r="E25" s="1" t="n">
        <v>46305</v>
      </c>
      <c r="F25" t="inlineStr">
        <is>
          <t>HALLANDS LÄN</t>
        </is>
      </c>
      <c r="G25" t="inlineStr">
        <is>
          <t>VARBERG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HYPERLINK("https://klasma.github.io/Logging_1383/artfynd/A 20045-2024 artfynd.xlsx", "A 20045-2024")</f>
        <v/>
      </c>
      <c r="X25">
        <f>HYPERLINK("https://klasma.github.io/Logging_1383/kartor/A 20045-2024 karta.png", "A 20045-2024")</f>
        <v/>
      </c>
      <c r="Y25">
        <f>HYPERLINK("https://klasma.github.io/Logging_1383/kartor_geotiff/A 20045-2024 georefererad karta.tif", "A 20045-2024")</f>
        <v/>
      </c>
      <c r="AA25">
        <f>HYPERLINK("https://klasma.github.io/Logging_1383/klagomål/A 20045-2024 FSC-klagomål.docx", "A 20045-2024")</f>
        <v/>
      </c>
      <c r="AB25">
        <f>HYPERLINK("https://klasma.github.io/Logging_1383/klagomålsmail/A 20045-2024 FSC-klagomål mail.docx", "A 20045-2024")</f>
        <v/>
      </c>
      <c r="AC25">
        <f>HYPERLINK("https://klasma.github.io/Logging_1383/tillsyn/A 20045-2024 tillsynsbegäran.docx", "A 20045-2024")</f>
        <v/>
      </c>
      <c r="AD25">
        <f>HYPERLINK("https://klasma.github.io/Logging_1383/tillsynsmail/A 20045-2024 tillsynsbegäran mail.docx", "A 20045-2024")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46305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HYPERLINK("https://klasma.github.io/Logging_1383/artfynd/A 42723-2023 artfynd.xlsx", "A 42723-2023")</f>
        <v/>
      </c>
      <c r="X26">
        <f>HYPERLINK("https://klasma.github.io/Logging_1383/kartor/A 42723-2023 karta.png", "A 42723-2023")</f>
        <v/>
      </c>
      <c r="Y26">
        <f>HYPERLINK("https://klasma.github.io/Logging_1383/kartor_geotiff/A 42723-2023 georefererad karta.tif", "A 42723-2023")</f>
        <v/>
      </c>
      <c r="AA26">
        <f>HYPERLINK("https://klasma.github.io/Logging_1383/klagomål/A 42723-2023 FSC-klagomål.docx", "A 42723-2023")</f>
        <v/>
      </c>
      <c r="AB26">
        <f>HYPERLINK("https://klasma.github.io/Logging_1383/klagomålsmail/A 42723-2023 FSC-klagomål mail.docx", "A 42723-2023")</f>
        <v/>
      </c>
      <c r="AC26">
        <f>HYPERLINK("https://klasma.github.io/Logging_1383/tillsyn/A 42723-2023 tillsynsbegäran.docx", "A 42723-2023")</f>
        <v/>
      </c>
      <c r="AD26">
        <f>HYPERLINK("https://klasma.github.io/Logging_1383/tillsynsmail/A 42723-2023 tillsynsbegäran mail.docx", "A 42723-2023")</f>
        <v/>
      </c>
    </row>
    <row r="27" ht="15" customHeight="1">
      <c r="A27" t="inlineStr">
        <is>
          <t>A 46737-2023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45198</v>
      </c>
      <c r="E27" s="1" t="n">
        <v>46305</v>
      </c>
      <c r="F27" t="inlineStr">
        <is>
          <t>HALLANDS LÄN</t>
        </is>
      </c>
      <c r="G27" t="inlineStr">
        <is>
          <t>VARBERG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HYPERLINK("https://klasma.github.io/Logging_1383/artfynd/A 46737-2023 artfynd.xlsx", "A 46737-2023")</f>
        <v/>
      </c>
      <c r="X27">
        <f>HYPERLINK("https://klasma.github.io/Logging_1383/kartor/A 46737-2023 karta.png", "A 46737-2023")</f>
        <v/>
      </c>
      <c r="Y27">
        <f>HYPERLINK("https://klasma.github.io/Logging_1383/kartor_geotiff/A 46737-2023 georefererad karta.tif", "A 46737-2023")</f>
        <v/>
      </c>
      <c r="AA27">
        <f>HYPERLINK("https://klasma.github.io/Logging_1383/klagomål/A 46737-2023 FSC-klagomål.docx", "A 46737-2023")</f>
        <v/>
      </c>
      <c r="AB27">
        <f>HYPERLINK("https://klasma.github.io/Logging_1383/klagomålsmail/A 46737-2023 FSC-klagomål mail.docx", "A 46737-2023")</f>
        <v/>
      </c>
      <c r="AC27">
        <f>HYPERLINK("https://klasma.github.io/Logging_1383/tillsyn/A 46737-2023 tillsynsbegäran.docx", "A 46737-2023")</f>
        <v/>
      </c>
      <c r="AD27">
        <f>HYPERLINK("https://klasma.github.io/Logging_1383/tillsynsmail/A 46737-2023 tillsynsbegäran mail.docx", "A 46737-2023")</f>
        <v/>
      </c>
    </row>
    <row r="28" ht="15" customHeight="1">
      <c r="A28" t="inlineStr">
        <is>
          <t>A 42573-2022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46305</v>
      </c>
      <c r="F28" t="inlineStr">
        <is>
          <t>HALLANDS LÄN</t>
        </is>
      </c>
      <c r="G28" t="inlineStr">
        <is>
          <t>VARBERG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Brun glada</t>
        </is>
      </c>
      <c r="W28">
        <f>HYPERLINK("https://klasma.github.io/Logging_1383/artfynd/A 42573-2022 artfynd.xlsx", "A 42573-2022")</f>
        <v/>
      </c>
      <c r="X28">
        <f>HYPERLINK("https://klasma.github.io/Logging_1383/kartor/A 42573-2022 karta.png", "A 42573-2022")</f>
        <v/>
      </c>
      <c r="Y28">
        <f>HYPERLINK("https://klasma.github.io/Logging_1383/kartor_geotiff/A 42573-2022 georefererad karta.tif", "A 42573-2022")</f>
        <v/>
      </c>
      <c r="AA28">
        <f>HYPERLINK("https://klasma.github.io/Logging_1383/klagomål/A 42573-2022 FSC-klagomål.docx", "A 42573-2022")</f>
        <v/>
      </c>
      <c r="AB28">
        <f>HYPERLINK("https://klasma.github.io/Logging_1383/klagomålsmail/A 42573-2022 FSC-klagomål mail.docx", "A 42573-2022")</f>
        <v/>
      </c>
      <c r="AC28">
        <f>HYPERLINK("https://klasma.github.io/Logging_1383/tillsyn/A 42573-2022 tillsynsbegäran.docx", "A 42573-2022")</f>
        <v/>
      </c>
      <c r="AD28">
        <f>HYPERLINK("https://klasma.github.io/Logging_1383/tillsynsmail/A 42573-2022 tillsynsbegäran mail.docx", "A 42573-2022")</f>
        <v/>
      </c>
      <c r="AE28">
        <f>HYPERLINK("https://klasma.github.io/Logging_1383/fåglar/A 42573-2022 prioriterade fågelarter.docx", "A 42573-2022")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46305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46305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46305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46305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46305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46305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46305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46305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46305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46305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46305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46305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46305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46305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46305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46305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46305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46305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46305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46305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46305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46305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46305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46305</v>
      </c>
      <c r="F52" t="inlineStr">
        <is>
          <t>HALLANDS LÄN</t>
        </is>
      </c>
      <c r="G52" t="inlineStr">
        <is>
          <t>VARBERG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44876</v>
      </c>
      <c r="E53" s="1" t="n">
        <v>46305</v>
      </c>
      <c r="F53" t="inlineStr">
        <is>
          <t>HALLANDS LÄN</t>
        </is>
      </c>
      <c r="G53" t="inlineStr">
        <is>
          <t>VARBERG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44638</v>
      </c>
      <c r="E54" s="1" t="n">
        <v>46305</v>
      </c>
      <c r="F54" t="inlineStr">
        <is>
          <t>HALLANDS LÄN</t>
        </is>
      </c>
      <c r="G54" t="inlineStr">
        <is>
          <t>VARBERG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46305</v>
      </c>
      <c r="F55" t="inlineStr">
        <is>
          <t>HALLANDS LÄN</t>
        </is>
      </c>
      <c r="G55" t="inlineStr">
        <is>
          <t>VARBERG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46305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46305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44641</v>
      </c>
      <c r="E58" s="1" t="n">
        <v>46305</v>
      </c>
      <c r="F58" t="inlineStr">
        <is>
          <t>HALLANDS LÄN</t>
        </is>
      </c>
      <c r="G58" t="inlineStr">
        <is>
          <t>VARBERG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44797</v>
      </c>
      <c r="E59" s="1" t="n">
        <v>46305</v>
      </c>
      <c r="F59" t="inlineStr">
        <is>
          <t>HALLANDS LÄN</t>
        </is>
      </c>
      <c r="G59" t="inlineStr">
        <is>
          <t>VARBERG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46305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46305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44684</v>
      </c>
      <c r="E62" s="1" t="n">
        <v>46305</v>
      </c>
      <c r="F62" t="inlineStr">
        <is>
          <t>HALLANDS LÄN</t>
        </is>
      </c>
      <c r="G62" t="inlineStr">
        <is>
          <t>VARBERG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46305</v>
      </c>
      <c r="F63" t="inlineStr">
        <is>
          <t>HALLANDS LÄN</t>
        </is>
      </c>
      <c r="G63" t="inlineStr">
        <is>
          <t>VARBERG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46305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46305</v>
      </c>
      <c r="F65" t="inlineStr">
        <is>
          <t>HALLANDS LÄN</t>
        </is>
      </c>
      <c r="G65" t="inlineStr">
        <is>
          <t>VARBERG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46305</v>
      </c>
      <c r="F66" t="inlineStr">
        <is>
          <t>HALLANDS LÄN</t>
        </is>
      </c>
      <c r="G66" t="inlineStr">
        <is>
          <t>VARBERG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46305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46305</v>
      </c>
      <c r="F68" t="inlineStr">
        <is>
          <t>HALLANDS LÄN</t>
        </is>
      </c>
      <c r="G68" t="inlineStr">
        <is>
          <t>VARBERG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46305</v>
      </c>
      <c r="F69" t="inlineStr">
        <is>
          <t>HALLANDS LÄN</t>
        </is>
      </c>
      <c r="G69" t="inlineStr">
        <is>
          <t>VARBERG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46305</v>
      </c>
      <c r="F70" t="inlineStr">
        <is>
          <t>HALLANDS LÄN</t>
        </is>
      </c>
      <c r="G70" t="inlineStr">
        <is>
          <t>VARBERG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18329-2025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46305</v>
      </c>
      <c r="F71" t="inlineStr">
        <is>
          <t>HALLANDS LÄN</t>
        </is>
      </c>
      <c r="G71" t="inlineStr">
        <is>
          <t>VARBERG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46305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46305</v>
      </c>
      <c r="F73" t="inlineStr">
        <is>
          <t>HALLANDS LÄN</t>
        </is>
      </c>
      <c r="G73" t="inlineStr">
        <is>
          <t>VARBERG</t>
        </is>
      </c>
      <c r="H73" t="inlineStr">
        <is>
          <t>Kyrkan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46305</v>
      </c>
      <c r="F74" t="inlineStr">
        <is>
          <t>HALLANDS LÄN</t>
        </is>
      </c>
      <c r="G74" t="inlineStr">
        <is>
          <t>VARBERG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46305</v>
      </c>
      <c r="F75" t="inlineStr">
        <is>
          <t>HALLANDS LÄN</t>
        </is>
      </c>
      <c r="G75" t="inlineStr">
        <is>
          <t>VARBERG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46305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46305</v>
      </c>
      <c r="F77" t="inlineStr">
        <is>
          <t>HALLANDS LÄN</t>
        </is>
      </c>
      <c r="G77" t="inlineStr">
        <is>
          <t>VARBERG</t>
        </is>
      </c>
      <c r="H77" t="inlineStr">
        <is>
          <t>Kyrkan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46305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46305</v>
      </c>
      <c r="F79" t="inlineStr">
        <is>
          <t>HALLANDS LÄN</t>
        </is>
      </c>
      <c r="G79" t="inlineStr">
        <is>
          <t>VARBERG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23886-2024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46305</v>
      </c>
      <c r="F80" t="inlineStr">
        <is>
          <t>HALLANDS LÄN</t>
        </is>
      </c>
      <c r="G80" t="inlineStr">
        <is>
          <t>VARBERG</t>
        </is>
      </c>
      <c r="H80" t="inlineStr">
        <is>
          <t>Kyrkan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46305</v>
      </c>
      <c r="F81" t="inlineStr">
        <is>
          <t>HALLANDS LÄN</t>
        </is>
      </c>
      <c r="G81" t="inlineStr">
        <is>
          <t>VARBERG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46305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46305</v>
      </c>
      <c r="F83" t="inlineStr">
        <is>
          <t>HALLANDS LÄN</t>
        </is>
      </c>
      <c r="G83" t="inlineStr">
        <is>
          <t>VARBERG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10808-2024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46305</v>
      </c>
      <c r="F84" t="inlineStr">
        <is>
          <t>HALLANDS LÄN</t>
        </is>
      </c>
      <c r="G84" t="inlineStr">
        <is>
          <t>VARBERG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46305</v>
      </c>
      <c r="F85" t="inlineStr">
        <is>
          <t>HALLANDS LÄN</t>
        </is>
      </c>
      <c r="G85" t="inlineStr">
        <is>
          <t>VARBERG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44641</v>
      </c>
      <c r="E86" s="1" t="n">
        <v>46305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46305</v>
      </c>
      <c r="F87" t="inlineStr">
        <is>
          <t>HALLANDS LÄN</t>
        </is>
      </c>
      <c r="G87" t="inlineStr">
        <is>
          <t>VARBERG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46305</v>
      </c>
      <c r="F88" t="inlineStr">
        <is>
          <t>HALLANDS LÄN</t>
        </is>
      </c>
      <c r="G88" t="inlineStr">
        <is>
          <t>VARBERG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46305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45224</v>
      </c>
      <c r="E90" s="1" t="n">
        <v>46305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46305</v>
      </c>
      <c r="F91" t="inlineStr">
        <is>
          <t>HALLANDS LÄN</t>
        </is>
      </c>
      <c r="G91" t="inlineStr">
        <is>
          <t>VARBERG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46305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46305</v>
      </c>
      <c r="F93" t="inlineStr">
        <is>
          <t>HALLANDS LÄN</t>
        </is>
      </c>
      <c r="G93" t="inlineStr">
        <is>
          <t>VARBERG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46305</v>
      </c>
      <c r="F94" t="inlineStr">
        <is>
          <t>HALLANDS LÄN</t>
        </is>
      </c>
      <c r="G94" t="inlineStr">
        <is>
          <t>VARBERG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46305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45224</v>
      </c>
      <c r="E96" s="1" t="n">
        <v>46305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46305</v>
      </c>
      <c r="F97" t="inlineStr">
        <is>
          <t>HALLANDS LÄN</t>
        </is>
      </c>
      <c r="G97" t="inlineStr">
        <is>
          <t>VARBERG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46305</v>
      </c>
      <c r="F98" t="inlineStr">
        <is>
          <t>HALLANDS LÄN</t>
        </is>
      </c>
      <c r="G98" t="inlineStr">
        <is>
          <t>VARBERG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46305</v>
      </c>
      <c r="F99" t="inlineStr">
        <is>
          <t>HALLANDS LÄN</t>
        </is>
      </c>
      <c r="G99" t="inlineStr">
        <is>
          <t>VARBERG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46305</v>
      </c>
      <c r="F100" t="inlineStr">
        <is>
          <t>HALLANDS LÄN</t>
        </is>
      </c>
      <c r="G100" t="inlineStr">
        <is>
          <t>VARBERG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46305</v>
      </c>
      <c r="F101" t="inlineStr">
        <is>
          <t>HALLANDS LÄN</t>
        </is>
      </c>
      <c r="G101" t="inlineStr">
        <is>
          <t>VARBERG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45344</v>
      </c>
      <c r="E102" s="1" t="n">
        <v>46305</v>
      </c>
      <c r="F102" t="inlineStr">
        <is>
          <t>HALLANDS LÄN</t>
        </is>
      </c>
      <c r="G102" t="inlineStr">
        <is>
          <t>VARBERG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46305</v>
      </c>
      <c r="F103" t="inlineStr">
        <is>
          <t>HALLANDS LÄN</t>
        </is>
      </c>
      <c r="G103" t="inlineStr">
        <is>
          <t>VARBERG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46305</v>
      </c>
      <c r="F104" t="inlineStr">
        <is>
          <t>HALLANDS LÄN</t>
        </is>
      </c>
      <c r="G104" t="inlineStr">
        <is>
          <t>VARBERG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46305</v>
      </c>
      <c r="F105" t="inlineStr">
        <is>
          <t>HALLANDS LÄN</t>
        </is>
      </c>
      <c r="G105" t="inlineStr">
        <is>
          <t>VARBERG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46305</v>
      </c>
      <c r="F106" t="inlineStr">
        <is>
          <t>HALLANDS LÄN</t>
        </is>
      </c>
      <c r="G106" t="inlineStr">
        <is>
          <t>VARBERG</t>
        </is>
      </c>
      <c r="H106" t="inlineStr">
        <is>
          <t>Kyrkan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44985</v>
      </c>
      <c r="E107" s="1" t="n">
        <v>46305</v>
      </c>
      <c r="F107" t="inlineStr">
        <is>
          <t>HALLANDS LÄN</t>
        </is>
      </c>
      <c r="G107" t="inlineStr">
        <is>
          <t>VARBERG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46305</v>
      </c>
      <c r="F108" t="inlineStr">
        <is>
          <t>HALLANDS LÄN</t>
        </is>
      </c>
      <c r="G108" t="inlineStr">
        <is>
          <t>VARBERG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46305</v>
      </c>
      <c r="F109" t="inlineStr">
        <is>
          <t>HALLANDS LÄN</t>
        </is>
      </c>
      <c r="G109" t="inlineStr">
        <is>
          <t>VARBERG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46305</v>
      </c>
      <c r="F110" t="inlineStr">
        <is>
          <t>HALLANDS LÄN</t>
        </is>
      </c>
      <c r="G110" t="inlineStr">
        <is>
          <t>VARBERG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46305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45097</v>
      </c>
      <c r="E112" s="1" t="n">
        <v>46305</v>
      </c>
      <c r="F112" t="inlineStr">
        <is>
          <t>HALLANDS LÄN</t>
        </is>
      </c>
      <c r="G112" t="inlineStr">
        <is>
          <t>VARBERG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46305</v>
      </c>
      <c r="F113" t="inlineStr">
        <is>
          <t>HALLANDS LÄN</t>
        </is>
      </c>
      <c r="G113" t="inlineStr">
        <is>
          <t>VARBERG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46305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45736</v>
      </c>
      <c r="E115" s="1" t="n">
        <v>46305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46305</v>
      </c>
      <c r="F116" t="inlineStr">
        <is>
          <t>HALLANDS LÄN</t>
        </is>
      </c>
      <c r="G116" t="inlineStr">
        <is>
          <t>VARBERG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46305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46305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44837</v>
      </c>
      <c r="E119" s="1" t="n">
        <v>46305</v>
      </c>
      <c r="F119" t="inlineStr">
        <is>
          <t>HALLANDS LÄN</t>
        </is>
      </c>
      <c r="G119" t="inlineStr">
        <is>
          <t>VARBERG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46305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46305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71841-2021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46305</v>
      </c>
      <c r="F122" t="inlineStr">
        <is>
          <t>HALLANDS LÄN</t>
        </is>
      </c>
      <c r="G122" t="inlineStr">
        <is>
          <t>VARBERG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46305</v>
      </c>
      <c r="F123" t="inlineStr">
        <is>
          <t>HALLANDS LÄN</t>
        </is>
      </c>
      <c r="G123" t="inlineStr">
        <is>
          <t>VARBERG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35506-2024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46305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46305</v>
      </c>
      <c r="F125" t="inlineStr">
        <is>
          <t>HALLANDS LÄN</t>
        </is>
      </c>
      <c r="G125" t="inlineStr">
        <is>
          <t>VARBERG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46305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46305</v>
      </c>
      <c r="F127" t="inlineStr">
        <is>
          <t>HALLANDS LÄN</t>
        </is>
      </c>
      <c r="G127" t="inlineStr">
        <is>
          <t>VARBERG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46305</v>
      </c>
      <c r="F128" t="inlineStr">
        <is>
          <t>HALLANDS LÄN</t>
        </is>
      </c>
      <c r="G128" t="inlineStr">
        <is>
          <t>VARBERG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46305</v>
      </c>
      <c r="F129" t="inlineStr">
        <is>
          <t>HALLANDS LÄN</t>
        </is>
      </c>
      <c r="G129" t="inlineStr">
        <is>
          <t>VARBERG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46305</v>
      </c>
      <c r="F130" t="inlineStr">
        <is>
          <t>HALLANDS LÄN</t>
        </is>
      </c>
      <c r="G130" t="inlineStr">
        <is>
          <t>VARBERG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44980</v>
      </c>
      <c r="E131" s="1" t="n">
        <v>46305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35018-2025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45851</v>
      </c>
      <c r="E132" s="1" t="n">
        <v>46305</v>
      </c>
      <c r="F132" t="inlineStr">
        <is>
          <t>HALLANDS LÄN</t>
        </is>
      </c>
      <c r="G132" t="inlineStr">
        <is>
          <t>VARBERG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46305</v>
      </c>
      <c r="F133" t="inlineStr">
        <is>
          <t>HALLANDS LÄN</t>
        </is>
      </c>
      <c r="G133" t="inlineStr">
        <is>
          <t>VARBERG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46305</v>
      </c>
      <c r="F134" t="inlineStr">
        <is>
          <t>HALLANDS LÄN</t>
        </is>
      </c>
      <c r="G134" t="inlineStr">
        <is>
          <t>VARBERG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46305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46305</v>
      </c>
      <c r="F136" t="inlineStr">
        <is>
          <t>HALLANDS LÄN</t>
        </is>
      </c>
      <c r="G136" t="inlineStr">
        <is>
          <t>VARBERG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46305</v>
      </c>
      <c r="F137" t="inlineStr">
        <is>
          <t>HALLANDS LÄN</t>
        </is>
      </c>
      <c r="G137" t="inlineStr">
        <is>
          <t>VARBERG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46305</v>
      </c>
      <c r="F138" t="inlineStr">
        <is>
          <t>HALLANDS LÄN</t>
        </is>
      </c>
      <c r="G138" t="inlineStr">
        <is>
          <t>VARBERG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46305</v>
      </c>
      <c r="F139" t="inlineStr">
        <is>
          <t>HALLANDS LÄN</t>
        </is>
      </c>
      <c r="G139" t="inlineStr">
        <is>
          <t>VARBERG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46305</v>
      </c>
      <c r="F140" t="inlineStr">
        <is>
          <t>HALLANDS LÄN</t>
        </is>
      </c>
      <c r="G140" t="inlineStr">
        <is>
          <t>VARBERG</t>
        </is>
      </c>
      <c r="I140" t="n">
        <v>18.8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46305</v>
      </c>
      <c r="F141" t="inlineStr">
        <is>
          <t>HALLANDS LÄN</t>
        </is>
      </c>
      <c r="G141" t="inlineStr">
        <is>
          <t>VARBERG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44574</v>
      </c>
      <c r="E142" s="1" t="n">
        <v>46305</v>
      </c>
      <c r="F142" t="inlineStr">
        <is>
          <t>HALLANDS LÄN</t>
        </is>
      </c>
      <c r="G142" t="inlineStr">
        <is>
          <t>VARBERG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46305</v>
      </c>
      <c r="F143" t="inlineStr">
        <is>
          <t>HALLANDS LÄN</t>
        </is>
      </c>
      <c r="G143" t="inlineStr">
        <is>
          <t>VARBERG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46305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45716</v>
      </c>
      <c r="E145" s="1" t="n">
        <v>46305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45281</v>
      </c>
      <c r="E146" s="1" t="n">
        <v>46305</v>
      </c>
      <c r="F146" t="inlineStr">
        <is>
          <t>HALLANDS LÄN</t>
        </is>
      </c>
      <c r="G146" t="inlineStr">
        <is>
          <t>VARBERG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46305</v>
      </c>
      <c r="F147" t="inlineStr">
        <is>
          <t>HALLANDS LÄN</t>
        </is>
      </c>
      <c r="G147" t="inlineStr">
        <is>
          <t>VARBERG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46305</v>
      </c>
      <c r="F148" t="inlineStr">
        <is>
          <t>HALLANDS LÄN</t>
        </is>
      </c>
      <c r="G148" t="inlineStr">
        <is>
          <t>VARBERG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46305</v>
      </c>
      <c r="F149" t="inlineStr">
        <is>
          <t>HALLANDS LÄN</t>
        </is>
      </c>
      <c r="G149" t="inlineStr">
        <is>
          <t>VARBERG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46305</v>
      </c>
      <c r="F150" t="inlineStr">
        <is>
          <t>HALLANDS LÄN</t>
        </is>
      </c>
      <c r="G150" t="inlineStr">
        <is>
          <t>VARBERG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46305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46305</v>
      </c>
      <c r="F152" t="inlineStr">
        <is>
          <t>HALLANDS LÄN</t>
        </is>
      </c>
      <c r="G152" t="inlineStr">
        <is>
          <t>VARBERG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46305</v>
      </c>
      <c r="F153" t="inlineStr">
        <is>
          <t>HALLANDS LÄN</t>
        </is>
      </c>
      <c r="G153" t="inlineStr">
        <is>
          <t>VARBERG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46305</v>
      </c>
      <c r="F154" t="inlineStr">
        <is>
          <t>HALLANDS LÄN</t>
        </is>
      </c>
      <c r="G154" t="inlineStr">
        <is>
          <t>VARBERG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43273-2025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46305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45593</v>
      </c>
      <c r="E156" s="1" t="n">
        <v>46305</v>
      </c>
      <c r="F156" t="inlineStr">
        <is>
          <t>HALLANDS LÄN</t>
        </is>
      </c>
      <c r="G156" t="inlineStr">
        <is>
          <t>VARBERG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46305</v>
      </c>
      <c r="F157" t="inlineStr">
        <is>
          <t>HALLANDS LÄN</t>
        </is>
      </c>
      <c r="G157" t="inlineStr">
        <is>
          <t>VARBERG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46305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46305</v>
      </c>
      <c r="F159" t="inlineStr">
        <is>
          <t>HALLANDS LÄN</t>
        </is>
      </c>
      <c r="G159" t="inlineStr">
        <is>
          <t>VARBERG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46305</v>
      </c>
      <c r="F160" t="inlineStr">
        <is>
          <t>HALLANDS LÄN</t>
        </is>
      </c>
      <c r="G160" t="inlineStr">
        <is>
          <t>VARBERG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46305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46305</v>
      </c>
      <c r="F162" t="inlineStr">
        <is>
          <t>HALLANDS LÄN</t>
        </is>
      </c>
      <c r="G162" t="inlineStr">
        <is>
          <t>VARBERG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46305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46305</v>
      </c>
      <c r="F164" t="inlineStr">
        <is>
          <t>HALLANDS LÄN</t>
        </is>
      </c>
      <c r="G164" t="inlineStr">
        <is>
          <t>VARBERG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46305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46305</v>
      </c>
      <c r="F166" t="inlineStr">
        <is>
          <t>HALLANDS LÄN</t>
        </is>
      </c>
      <c r="G166" t="inlineStr">
        <is>
          <t>VARBERG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45422</v>
      </c>
      <c r="E167" s="1" t="n">
        <v>46305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46305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46305</v>
      </c>
      <c r="F169" t="inlineStr">
        <is>
          <t>HALLANDS LÄN</t>
        </is>
      </c>
      <c r="G169" t="inlineStr">
        <is>
          <t>VARBERG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46305</v>
      </c>
      <c r="F170" t="inlineStr">
        <is>
          <t>HALLANDS LÄN</t>
        </is>
      </c>
      <c r="G170" t="inlineStr">
        <is>
          <t>VARBERG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46305</v>
      </c>
      <c r="F171" t="inlineStr">
        <is>
          <t>HALLANDS LÄN</t>
        </is>
      </c>
      <c r="G171" t="inlineStr">
        <is>
          <t>VARBERG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45487</v>
      </c>
      <c r="E172" s="1" t="n">
        <v>46305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46305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46305</v>
      </c>
      <c r="F174" t="inlineStr">
        <is>
          <t>HALLANDS LÄN</t>
        </is>
      </c>
      <c r="G174" t="inlineStr">
        <is>
          <t>VARBERG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46305</v>
      </c>
      <c r="F175" t="inlineStr">
        <is>
          <t>HALLANDS LÄN</t>
        </is>
      </c>
      <c r="G175" t="inlineStr">
        <is>
          <t>VARBERG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45086</v>
      </c>
      <c r="E176" s="1" t="n">
        <v>46305</v>
      </c>
      <c r="F176" t="inlineStr">
        <is>
          <t>HALLANDS LÄN</t>
        </is>
      </c>
      <c r="G176" t="inlineStr">
        <is>
          <t>VARBERG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46305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46305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46305</v>
      </c>
      <c r="F179" t="inlineStr">
        <is>
          <t>HALLANDS LÄN</t>
        </is>
      </c>
      <c r="G179" t="inlineStr">
        <is>
          <t>VARBERG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46305</v>
      </c>
      <c r="F180" t="inlineStr">
        <is>
          <t>HALLANDS LÄN</t>
        </is>
      </c>
      <c r="G180" t="inlineStr">
        <is>
          <t>VARBERG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46305</v>
      </c>
      <c r="F181" t="inlineStr">
        <is>
          <t>HALLANDS LÄN</t>
        </is>
      </c>
      <c r="G181" t="inlineStr">
        <is>
          <t>VARBERG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46305</v>
      </c>
      <c r="F182" t="inlineStr">
        <is>
          <t>HALLANDS LÄN</t>
        </is>
      </c>
      <c r="G182" t="inlineStr">
        <is>
          <t>VARBERG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46305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46305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46305</v>
      </c>
      <c r="F185" t="inlineStr">
        <is>
          <t>HALLANDS LÄN</t>
        </is>
      </c>
      <c r="G185" t="inlineStr">
        <is>
          <t>VARBERG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46305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46305</v>
      </c>
      <c r="F187" t="inlineStr">
        <is>
          <t>HALLANDS LÄN</t>
        </is>
      </c>
      <c r="G187" t="inlineStr">
        <is>
          <t>VARBERG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45392</v>
      </c>
      <c r="E188" s="1" t="n">
        <v>46305</v>
      </c>
      <c r="F188" t="inlineStr">
        <is>
          <t>HALLANDS LÄN</t>
        </is>
      </c>
      <c r="G188" t="inlineStr">
        <is>
          <t>VARBERG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46305</v>
      </c>
      <c r="F189" t="inlineStr">
        <is>
          <t>HALLANDS LÄN</t>
        </is>
      </c>
      <c r="G189" t="inlineStr">
        <is>
          <t>VARBERG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46305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46305</v>
      </c>
      <c r="F191" t="inlineStr">
        <is>
          <t>HALLANDS LÄN</t>
        </is>
      </c>
      <c r="G191" t="inlineStr">
        <is>
          <t>VARBERG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46305</v>
      </c>
      <c r="F192" t="inlineStr">
        <is>
          <t>HALLANDS LÄN</t>
        </is>
      </c>
      <c r="G192" t="inlineStr">
        <is>
          <t>VARBERG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46305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45208</v>
      </c>
      <c r="E194" s="1" t="n">
        <v>46305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44974</v>
      </c>
      <c r="E195" s="1" t="n">
        <v>46305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46305</v>
      </c>
      <c r="F196" t="inlineStr">
        <is>
          <t>HALLANDS LÄN</t>
        </is>
      </c>
      <c r="G196" t="inlineStr">
        <is>
          <t>VARBERG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44649</v>
      </c>
      <c r="E197" s="1" t="n">
        <v>46305</v>
      </c>
      <c r="F197" t="inlineStr">
        <is>
          <t>HALLANDS LÄN</t>
        </is>
      </c>
      <c r="G197" t="inlineStr">
        <is>
          <t>VARBERG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45366</v>
      </c>
      <c r="E198" s="1" t="n">
        <v>46305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45804</v>
      </c>
      <c r="E199" s="1" t="n">
        <v>46305</v>
      </c>
      <c r="F199" t="inlineStr">
        <is>
          <t>HALLANDS LÄN</t>
        </is>
      </c>
      <c r="G199" t="inlineStr">
        <is>
          <t>VARBERG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46305</v>
      </c>
      <c r="F200" t="inlineStr">
        <is>
          <t>HALLANDS LÄN</t>
        </is>
      </c>
      <c r="G200" t="inlineStr">
        <is>
          <t>VARBERG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46305</v>
      </c>
      <c r="F201" t="inlineStr">
        <is>
          <t>HALLANDS LÄN</t>
        </is>
      </c>
      <c r="G201" t="inlineStr">
        <is>
          <t>VARBERG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10229-2023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44980</v>
      </c>
      <c r="E202" s="1" t="n">
        <v>46305</v>
      </c>
      <c r="F202" t="inlineStr">
        <is>
          <t>HALLANDS LÄN</t>
        </is>
      </c>
      <c r="G202" t="inlineStr">
        <is>
          <t>VARBERG</t>
        </is>
      </c>
      <c r="H202" t="inlineStr">
        <is>
          <t>Övriga statliga verk och myndigheter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46305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45805</v>
      </c>
      <c r="E204" s="1" t="n">
        <v>46305</v>
      </c>
      <c r="F204" t="inlineStr">
        <is>
          <t>HALLANDS LÄN</t>
        </is>
      </c>
      <c r="G204" t="inlineStr">
        <is>
          <t>VARBERG</t>
        </is>
      </c>
      <c r="H204" t="inlineStr">
        <is>
          <t>Kommuner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46305</v>
      </c>
      <c r="F205" t="inlineStr">
        <is>
          <t>HALLANDS LÄN</t>
        </is>
      </c>
      <c r="G205" t="inlineStr">
        <is>
          <t>VARBERG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28092-2024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45476</v>
      </c>
      <c r="E206" s="1" t="n">
        <v>46305</v>
      </c>
      <c r="F206" t="inlineStr">
        <is>
          <t>HALLANDS LÄN</t>
        </is>
      </c>
      <c r="G206" t="inlineStr">
        <is>
          <t>VARBERG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46305</v>
      </c>
      <c r="F207" t="inlineStr">
        <is>
          <t>HALLANDS LÄN</t>
        </is>
      </c>
      <c r="G207" t="inlineStr">
        <is>
          <t>VARBERG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46305</v>
      </c>
      <c r="F208" t="inlineStr">
        <is>
          <t>HALLANDS LÄN</t>
        </is>
      </c>
      <c r="G208" t="inlineStr">
        <is>
          <t>VARBERG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45352</v>
      </c>
      <c r="E209" s="1" t="n">
        <v>46305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45583</v>
      </c>
      <c r="E210" s="1" t="n">
        <v>46305</v>
      </c>
      <c r="F210" t="inlineStr">
        <is>
          <t>HALLANDS LÄN</t>
        </is>
      </c>
      <c r="G210" t="inlineStr">
        <is>
          <t>VARBERG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46305</v>
      </c>
      <c r="F211" t="inlineStr">
        <is>
          <t>HALLANDS LÄN</t>
        </is>
      </c>
      <c r="G211" t="inlineStr">
        <is>
          <t>VARBERG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46305</v>
      </c>
      <c r="F212" t="inlineStr">
        <is>
          <t>HALLANDS LÄN</t>
        </is>
      </c>
      <c r="G212" t="inlineStr">
        <is>
          <t>VARBERG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46305</v>
      </c>
      <c r="F213" t="inlineStr">
        <is>
          <t>HALLANDS LÄN</t>
        </is>
      </c>
      <c r="G213" t="inlineStr">
        <is>
          <t>VARBERG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46305</v>
      </c>
      <c r="F214" t="inlineStr">
        <is>
          <t>HALLANDS LÄN</t>
        </is>
      </c>
      <c r="G214" t="inlineStr">
        <is>
          <t>VARBERG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46305</v>
      </c>
      <c r="F215" t="inlineStr">
        <is>
          <t>HALLANDS LÄN</t>
        </is>
      </c>
      <c r="G215" t="inlineStr">
        <is>
          <t>VARBERG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46305</v>
      </c>
      <c r="F216" t="inlineStr">
        <is>
          <t>HALLANDS LÄN</t>
        </is>
      </c>
      <c r="G216" t="inlineStr">
        <is>
          <t>VARBERG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46305</v>
      </c>
      <c r="F217" t="inlineStr">
        <is>
          <t>HALLANDS LÄN</t>
        </is>
      </c>
      <c r="G217" t="inlineStr">
        <is>
          <t>VARBERG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46305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46305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46305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46305</v>
      </c>
      <c r="F221" t="inlineStr">
        <is>
          <t>HALLANDS LÄN</t>
        </is>
      </c>
      <c r="G221" t="inlineStr">
        <is>
          <t>VARBERG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46305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46305</v>
      </c>
      <c r="F223" t="inlineStr">
        <is>
          <t>HALLANDS LÄN</t>
        </is>
      </c>
      <c r="G223" t="inlineStr">
        <is>
          <t>VARBERG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46305</v>
      </c>
      <c r="F224" t="inlineStr">
        <is>
          <t>HALLANDS LÄN</t>
        </is>
      </c>
      <c r="G224" t="inlineStr">
        <is>
          <t>VARBERG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46305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46305</v>
      </c>
      <c r="F226" t="inlineStr">
        <is>
          <t>HALLANDS LÄN</t>
        </is>
      </c>
      <c r="G226" t="inlineStr">
        <is>
          <t>VARBERG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46305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61075-2023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45261</v>
      </c>
      <c r="E228" s="1" t="n">
        <v>46305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46305</v>
      </c>
      <c r="F229" t="inlineStr">
        <is>
          <t>HALLANDS LÄN</t>
        </is>
      </c>
      <c r="G229" t="inlineStr">
        <is>
          <t>VARBERG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46305</v>
      </c>
      <c r="F230" t="inlineStr">
        <is>
          <t>HALLANDS LÄN</t>
        </is>
      </c>
      <c r="G230" t="inlineStr">
        <is>
          <t>VARBERG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46305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46305</v>
      </c>
      <c r="F232" t="inlineStr">
        <is>
          <t>HALLANDS LÄN</t>
        </is>
      </c>
      <c r="G232" t="inlineStr">
        <is>
          <t>VARBERG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46305</v>
      </c>
      <c r="F233" t="inlineStr">
        <is>
          <t>HALLANDS LÄN</t>
        </is>
      </c>
      <c r="G233" t="inlineStr">
        <is>
          <t>VARBERG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46305</v>
      </c>
      <c r="F234" t="inlineStr">
        <is>
          <t>HALLANDS LÄN</t>
        </is>
      </c>
      <c r="G234" t="inlineStr">
        <is>
          <t>VARBERG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44740</v>
      </c>
      <c r="E235" s="1" t="n">
        <v>46305</v>
      </c>
      <c r="F235" t="inlineStr">
        <is>
          <t>HALLANDS LÄN</t>
        </is>
      </c>
      <c r="G235" t="inlineStr">
        <is>
          <t>VARBERG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46305</v>
      </c>
      <c r="F236" t="inlineStr">
        <is>
          <t>HALLANDS LÄN</t>
        </is>
      </c>
      <c r="G236" t="inlineStr">
        <is>
          <t>VARBERG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46305</v>
      </c>
      <c r="F237" t="inlineStr">
        <is>
          <t>HALLANDS LÄN</t>
        </is>
      </c>
      <c r="G237" t="inlineStr">
        <is>
          <t>VARBERG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46305</v>
      </c>
      <c r="F238" t="inlineStr">
        <is>
          <t>HALLANDS LÄN</t>
        </is>
      </c>
      <c r="G238" t="inlineStr">
        <is>
          <t>VARBERG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46305</v>
      </c>
      <c r="F239" t="inlineStr">
        <is>
          <t>HALLANDS LÄN</t>
        </is>
      </c>
      <c r="G239" t="inlineStr">
        <is>
          <t>VARBERG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46305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46305</v>
      </c>
      <c r="F241" t="inlineStr">
        <is>
          <t>HALLANDS LÄN</t>
        </is>
      </c>
      <c r="G241" t="inlineStr">
        <is>
          <t>VARBERG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46305</v>
      </c>
      <c r="F242" t="inlineStr">
        <is>
          <t>HALLANDS LÄN</t>
        </is>
      </c>
      <c r="G242" t="inlineStr">
        <is>
          <t>VARBERG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46305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46305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46305</v>
      </c>
      <c r="F245" t="inlineStr">
        <is>
          <t>HALLANDS LÄN</t>
        </is>
      </c>
      <c r="G245" t="inlineStr">
        <is>
          <t>VARBERG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46305</v>
      </c>
      <c r="F246" t="inlineStr">
        <is>
          <t>HALLANDS LÄN</t>
        </is>
      </c>
      <c r="G246" t="inlineStr">
        <is>
          <t>VARBERG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46305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46305</v>
      </c>
      <c r="F248" t="inlineStr">
        <is>
          <t>HALLANDS LÄN</t>
        </is>
      </c>
      <c r="G248" t="inlineStr">
        <is>
          <t>VARBERG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46305</v>
      </c>
      <c r="F249" t="inlineStr">
        <is>
          <t>HALLANDS LÄN</t>
        </is>
      </c>
      <c r="G249" t="inlineStr">
        <is>
          <t>VARBERG</t>
        </is>
      </c>
      <c r="H249" t="inlineStr">
        <is>
          <t>Kyrkan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46305</v>
      </c>
      <c r="F250" t="inlineStr">
        <is>
          <t>HALLANDS LÄN</t>
        </is>
      </c>
      <c r="G250" t="inlineStr">
        <is>
          <t>VARBERG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44649</v>
      </c>
      <c r="E251" s="1" t="n">
        <v>46305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46305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46305</v>
      </c>
      <c r="F253" t="inlineStr">
        <is>
          <t>HALLANDS LÄN</t>
        </is>
      </c>
      <c r="G253" t="inlineStr">
        <is>
          <t>VARBERG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46305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46305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46305</v>
      </c>
      <c r="F256" t="inlineStr">
        <is>
          <t>HALLANDS LÄN</t>
        </is>
      </c>
      <c r="G256" t="inlineStr">
        <is>
          <t>VARBERG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46305</v>
      </c>
      <c r="F257" t="inlineStr">
        <is>
          <t>HALLANDS LÄN</t>
        </is>
      </c>
      <c r="G257" t="inlineStr">
        <is>
          <t>VARBERG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46305</v>
      </c>
      <c r="F258" t="inlineStr">
        <is>
          <t>HALLANDS LÄN</t>
        </is>
      </c>
      <c r="G258" t="inlineStr">
        <is>
          <t>VARBERG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46305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46305</v>
      </c>
      <c r="F260" t="inlineStr">
        <is>
          <t>HALLANDS LÄN</t>
        </is>
      </c>
      <c r="G260" t="inlineStr">
        <is>
          <t>VARBERG</t>
        </is>
      </c>
      <c r="H260" t="inlineStr">
        <is>
          <t>Övriga statliga verk och myndigheter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44644</v>
      </c>
      <c r="E261" s="1" t="n">
        <v>46305</v>
      </c>
      <c r="F261" t="inlineStr">
        <is>
          <t>HALLANDS LÄN</t>
        </is>
      </c>
      <c r="G261" t="inlineStr">
        <is>
          <t>VARBERG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45852</v>
      </c>
      <c r="E262" s="1" t="n">
        <v>46305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46305</v>
      </c>
      <c r="F263" t="inlineStr">
        <is>
          <t>HALLANDS LÄN</t>
        </is>
      </c>
      <c r="G263" t="inlineStr">
        <is>
          <t>VARBERG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46305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46305</v>
      </c>
      <c r="F265" t="inlineStr">
        <is>
          <t>HALLANDS LÄN</t>
        </is>
      </c>
      <c r="G265" t="inlineStr">
        <is>
          <t>VARBERG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46305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46305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46305</v>
      </c>
      <c r="F268" t="inlineStr">
        <is>
          <t>HALLANDS LÄN</t>
        </is>
      </c>
      <c r="G268" t="inlineStr">
        <is>
          <t>VARBERG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46305</v>
      </c>
      <c r="F269" t="inlineStr">
        <is>
          <t>HALLANDS LÄN</t>
        </is>
      </c>
      <c r="G269" t="inlineStr">
        <is>
          <t>VARBERG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46305</v>
      </c>
      <c r="F270" t="inlineStr">
        <is>
          <t>HALLANDS LÄN</t>
        </is>
      </c>
      <c r="G270" t="inlineStr">
        <is>
          <t>VARBERG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46305</v>
      </c>
      <c r="F271" t="inlineStr">
        <is>
          <t>HALLANDS LÄN</t>
        </is>
      </c>
      <c r="G271" t="inlineStr">
        <is>
          <t>VARBERG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45328</v>
      </c>
      <c r="E272" s="1" t="n">
        <v>46305</v>
      </c>
      <c r="F272" t="inlineStr">
        <is>
          <t>HALLANDS LÄN</t>
        </is>
      </c>
      <c r="G272" t="inlineStr">
        <is>
          <t>VARBERG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45397</v>
      </c>
      <c r="E273" s="1" t="n">
        <v>46305</v>
      </c>
      <c r="F273" t="inlineStr">
        <is>
          <t>HALLANDS LÄN</t>
        </is>
      </c>
      <c r="G273" t="inlineStr">
        <is>
          <t>VARBERG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45513</v>
      </c>
      <c r="E274" s="1" t="n">
        <v>46305</v>
      </c>
      <c r="F274" t="inlineStr">
        <is>
          <t>HALLANDS LÄN</t>
        </is>
      </c>
      <c r="G274" t="inlineStr">
        <is>
          <t>VARBERG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45717</v>
      </c>
      <c r="E275" s="1" t="n">
        <v>46305</v>
      </c>
      <c r="F275" t="inlineStr">
        <is>
          <t>HALLANDS LÄN</t>
        </is>
      </c>
      <c r="G275" t="inlineStr">
        <is>
          <t>VARBERG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46305</v>
      </c>
      <c r="F276" t="inlineStr">
        <is>
          <t>HALLANDS LÄN</t>
        </is>
      </c>
      <c r="G276" t="inlineStr">
        <is>
          <t>VARBERG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46305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56853-2021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46305</v>
      </c>
      <c r="F278" t="inlineStr">
        <is>
          <t>HALLANDS LÄN</t>
        </is>
      </c>
      <c r="G278" t="inlineStr">
        <is>
          <t>VARBERG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46305</v>
      </c>
      <c r="F279" t="inlineStr">
        <is>
          <t>HALLANDS LÄN</t>
        </is>
      </c>
      <c r="G279" t="inlineStr">
        <is>
          <t>VARBERG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46305</v>
      </c>
      <c r="F280" t="inlineStr">
        <is>
          <t>HALLANDS LÄN</t>
        </is>
      </c>
      <c r="G280" t="inlineStr">
        <is>
          <t>VARBERG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49760-2024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45597</v>
      </c>
      <c r="E281" s="1" t="n">
        <v>46305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45313</v>
      </c>
      <c r="E282" s="1" t="n">
        <v>46305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46305</v>
      </c>
      <c r="F283" t="inlineStr">
        <is>
          <t>HALLANDS LÄN</t>
        </is>
      </c>
      <c r="G283" t="inlineStr">
        <is>
          <t>VARBERG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46305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46305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46305</v>
      </c>
      <c r="F286" t="inlineStr">
        <is>
          <t>HALLANDS LÄN</t>
        </is>
      </c>
      <c r="G286" t="inlineStr">
        <is>
          <t>VARBERG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46305</v>
      </c>
      <c r="F287" t="inlineStr">
        <is>
          <t>HALLANDS LÄN</t>
        </is>
      </c>
      <c r="G287" t="inlineStr">
        <is>
          <t>VARBERG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46305</v>
      </c>
      <c r="F288" t="inlineStr">
        <is>
          <t>HALLANDS LÄN</t>
        </is>
      </c>
      <c r="G288" t="inlineStr">
        <is>
          <t>VARBERG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44829</v>
      </c>
      <c r="E289" s="1" t="n">
        <v>46305</v>
      </c>
      <c r="F289" t="inlineStr">
        <is>
          <t>HALLANDS LÄN</t>
        </is>
      </c>
      <c r="G289" t="inlineStr">
        <is>
          <t>VARBERG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46305</v>
      </c>
      <c r="F290" t="inlineStr">
        <is>
          <t>HALLANDS LÄN</t>
        </is>
      </c>
      <c r="G290" t="inlineStr">
        <is>
          <t>VARBERG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46305</v>
      </c>
      <c r="F291" t="inlineStr">
        <is>
          <t>HALLANDS LÄN</t>
        </is>
      </c>
      <c r="G291" t="inlineStr">
        <is>
          <t>VARBERG</t>
        </is>
      </c>
      <c r="H291" t="inlineStr">
        <is>
          <t>Övriga statliga verk och myndigheter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46305</v>
      </c>
      <c r="F292" t="inlineStr">
        <is>
          <t>HALLANDS LÄN</t>
        </is>
      </c>
      <c r="G292" t="inlineStr">
        <is>
          <t>VARBERG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45313</v>
      </c>
      <c r="E293" s="1" t="n">
        <v>46305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46305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46305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46305</v>
      </c>
      <c r="F296" t="inlineStr">
        <is>
          <t>HALLANDS LÄN</t>
        </is>
      </c>
      <c r="G296" t="inlineStr">
        <is>
          <t>VARBERG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44767</v>
      </c>
      <c r="E297" s="1" t="n">
        <v>46305</v>
      </c>
      <c r="F297" t="inlineStr">
        <is>
          <t>HALLANDS LÄN</t>
        </is>
      </c>
      <c r="G297" t="inlineStr">
        <is>
          <t>VARBERG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46305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46771-2022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44851</v>
      </c>
      <c r="E299" s="1" t="n">
        <v>46305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45873</v>
      </c>
      <c r="E300" s="1" t="n">
        <v>46305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39464-2022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46305</v>
      </c>
      <c r="F301" t="inlineStr">
        <is>
          <t>HALLANDS LÄN</t>
        </is>
      </c>
      <c r="G301" t="inlineStr">
        <is>
          <t>VARBERG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46305</v>
      </c>
      <c r="F302" t="inlineStr">
        <is>
          <t>HALLANDS LÄN</t>
        </is>
      </c>
      <c r="G302" t="inlineStr">
        <is>
          <t>VARBERG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46305</v>
      </c>
      <c r="F303" t="inlineStr">
        <is>
          <t>HALLANDS LÄN</t>
        </is>
      </c>
      <c r="G303" t="inlineStr">
        <is>
          <t>VARBERG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46305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46305</v>
      </c>
      <c r="F305" t="inlineStr">
        <is>
          <t>HALLANDS LÄN</t>
        </is>
      </c>
      <c r="G305" t="inlineStr">
        <is>
          <t>VARBERG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45272</v>
      </c>
      <c r="E306" s="1" t="n">
        <v>46305</v>
      </c>
      <c r="F306" t="inlineStr">
        <is>
          <t>HALLANDS LÄN</t>
        </is>
      </c>
      <c r="G306" t="inlineStr">
        <is>
          <t>VARBERG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46305</v>
      </c>
      <c r="F307" t="inlineStr">
        <is>
          <t>HALLANDS LÄN</t>
        </is>
      </c>
      <c r="G307" t="inlineStr">
        <is>
          <t>VARBERG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46305</v>
      </c>
      <c r="F308" t="inlineStr">
        <is>
          <t>HALLANDS LÄN</t>
        </is>
      </c>
      <c r="G308" t="inlineStr">
        <is>
          <t>VARBERG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46305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46305</v>
      </c>
      <c r="F310" t="inlineStr">
        <is>
          <t>HALLANDS LÄN</t>
        </is>
      </c>
      <c r="G310" t="inlineStr">
        <is>
          <t>VARBERG</t>
        </is>
      </c>
      <c r="H310" t="inlineStr">
        <is>
          <t>Kyrkan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46305</v>
      </c>
      <c r="F311" t="inlineStr">
        <is>
          <t>HALLANDS LÄN</t>
        </is>
      </c>
      <c r="G311" t="inlineStr">
        <is>
          <t>VARBERG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46305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46305</v>
      </c>
      <c r="F313" t="inlineStr">
        <is>
          <t>HALLANDS LÄN</t>
        </is>
      </c>
      <c r="G313" t="inlineStr">
        <is>
          <t>VARBERG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46305</v>
      </c>
      <c r="F314" t="inlineStr">
        <is>
          <t>HALLANDS LÄN</t>
        </is>
      </c>
      <c r="G314" t="inlineStr">
        <is>
          <t>VARBERG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46305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46305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46305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46305</v>
      </c>
      <c r="F318" t="inlineStr">
        <is>
          <t>HALLANDS LÄN</t>
        </is>
      </c>
      <c r="G318" t="inlineStr">
        <is>
          <t>VARBERG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46305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46305</v>
      </c>
      <c r="F320" t="inlineStr">
        <is>
          <t>HALLANDS LÄN</t>
        </is>
      </c>
      <c r="G320" t="inlineStr">
        <is>
          <t>VARBERG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46305</v>
      </c>
      <c r="F321" t="inlineStr">
        <is>
          <t>HALLANDS LÄN</t>
        </is>
      </c>
      <c r="G321" t="inlineStr">
        <is>
          <t>VARBERG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46305</v>
      </c>
      <c r="F322" t="inlineStr">
        <is>
          <t>HALLANDS LÄN</t>
        </is>
      </c>
      <c r="G322" t="inlineStr">
        <is>
          <t>VARBERG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46305</v>
      </c>
      <c r="F323" t="inlineStr">
        <is>
          <t>HALLANDS LÄN</t>
        </is>
      </c>
      <c r="G323" t="inlineStr">
        <is>
          <t>VARBERG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46305</v>
      </c>
      <c r="F324" t="inlineStr">
        <is>
          <t>HALLANDS LÄN</t>
        </is>
      </c>
      <c r="G324" t="inlineStr">
        <is>
          <t>VARBERG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46305</v>
      </c>
      <c r="F325" t="inlineStr">
        <is>
          <t>HALLANDS LÄN</t>
        </is>
      </c>
      <c r="G325" t="inlineStr">
        <is>
          <t>VARBERG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46305</v>
      </c>
      <c r="F326" t="inlineStr">
        <is>
          <t>HALLANDS LÄN</t>
        </is>
      </c>
      <c r="G326" t="inlineStr">
        <is>
          <t>VARBERG</t>
        </is>
      </c>
      <c r="H326" t="inlineStr">
        <is>
          <t>Övriga statliga verk och myndigheter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46305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46305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46305</v>
      </c>
      <c r="F329" t="inlineStr">
        <is>
          <t>HALLANDS LÄN</t>
        </is>
      </c>
      <c r="G329" t="inlineStr">
        <is>
          <t>VARBERG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46305</v>
      </c>
      <c r="F330" t="inlineStr">
        <is>
          <t>HALLANDS LÄN</t>
        </is>
      </c>
      <c r="G330" t="inlineStr">
        <is>
          <t>VARBERG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46305</v>
      </c>
      <c r="F331" t="inlineStr">
        <is>
          <t>HALLANDS LÄN</t>
        </is>
      </c>
      <c r="G331" t="inlineStr">
        <is>
          <t>VARBERG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46305</v>
      </c>
      <c r="F332" t="inlineStr">
        <is>
          <t>HALLANDS LÄN</t>
        </is>
      </c>
      <c r="G332" t="inlineStr">
        <is>
          <t>VARBERG</t>
        </is>
      </c>
      <c r="I332" t="n">
        <v>8.5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46305</v>
      </c>
      <c r="F333" t="inlineStr">
        <is>
          <t>HALLANDS LÄN</t>
        </is>
      </c>
      <c r="G333" t="inlineStr">
        <is>
          <t>VARBERG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46305</v>
      </c>
      <c r="F334" t="inlineStr">
        <is>
          <t>HALLANDS LÄN</t>
        </is>
      </c>
      <c r="G334" t="inlineStr">
        <is>
          <t>VARBERG</t>
        </is>
      </c>
      <c r="H334" t="inlineStr">
        <is>
          <t>Kyrkan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46305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44622</v>
      </c>
      <c r="E336" s="1" t="n">
        <v>46305</v>
      </c>
      <c r="F336" t="inlineStr">
        <is>
          <t>HALLANDS LÄN</t>
        </is>
      </c>
      <c r="G336" t="inlineStr">
        <is>
          <t>VARBERG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9819-2022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44620</v>
      </c>
      <c r="E337" s="1" t="n">
        <v>46305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46305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46305</v>
      </c>
      <c r="F339" t="inlineStr">
        <is>
          <t>HALLANDS LÄN</t>
        </is>
      </c>
      <c r="G339" t="inlineStr">
        <is>
          <t>VARBERG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19130-2026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46132</v>
      </c>
      <c r="E340" s="1" t="n">
        <v>46305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46305</v>
      </c>
      <c r="F341" t="inlineStr">
        <is>
          <t>HALLANDS LÄN</t>
        </is>
      </c>
      <c r="G341" t="inlineStr">
        <is>
          <t>VARBERG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46305</v>
      </c>
      <c r="F342" t="inlineStr">
        <is>
          <t>HALLANDS LÄN</t>
        </is>
      </c>
      <c r="G342" t="inlineStr">
        <is>
          <t>VARBERG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46305</v>
      </c>
      <c r="F343" t="inlineStr">
        <is>
          <t>HALLANDS LÄN</t>
        </is>
      </c>
      <c r="G343" t="inlineStr">
        <is>
          <t>VARBERG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48019-2022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44855</v>
      </c>
      <c r="E344" s="1" t="n">
        <v>46305</v>
      </c>
      <c r="F344" t="inlineStr">
        <is>
          <t>HALLANDS LÄN</t>
        </is>
      </c>
      <c r="G344" t="inlineStr">
        <is>
          <t>VARBERG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46305</v>
      </c>
      <c r="F345" t="inlineStr">
        <is>
          <t>HALLANDS LÄN</t>
        </is>
      </c>
      <c r="G345" t="inlineStr">
        <is>
          <t>VARBERG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44770</v>
      </c>
      <c r="E346" s="1" t="n">
        <v>46305</v>
      </c>
      <c r="F346" t="inlineStr">
        <is>
          <t>HALLANDS LÄN</t>
        </is>
      </c>
      <c r="G346" t="inlineStr">
        <is>
          <t>VARBERG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45487</v>
      </c>
      <c r="E347" s="1" t="n">
        <v>46305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46305</v>
      </c>
      <c r="F348" t="inlineStr">
        <is>
          <t>HALLANDS LÄN</t>
        </is>
      </c>
      <c r="G348" t="inlineStr">
        <is>
          <t>VARBERG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46305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46305</v>
      </c>
      <c r="F350" t="inlineStr">
        <is>
          <t>HALLANDS LÄN</t>
        </is>
      </c>
      <c r="G350" t="inlineStr">
        <is>
          <t>VARBERG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46305</v>
      </c>
      <c r="F351" t="inlineStr">
        <is>
          <t>HALLANDS LÄN</t>
        </is>
      </c>
      <c r="G351" t="inlineStr">
        <is>
          <t>VARBERG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46305</v>
      </c>
      <c r="F352" t="inlineStr">
        <is>
          <t>HALLANDS LÄN</t>
        </is>
      </c>
      <c r="G352" t="inlineStr">
        <is>
          <t>VARBERG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46007</v>
      </c>
      <c r="E353" s="1" t="n">
        <v>46305</v>
      </c>
      <c r="F353" t="inlineStr">
        <is>
          <t>HALLANDS LÄN</t>
        </is>
      </c>
      <c r="G353" t="inlineStr">
        <is>
          <t>VARBERG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46305</v>
      </c>
      <c r="F354" t="inlineStr">
        <is>
          <t>HALLANDS LÄN</t>
        </is>
      </c>
      <c r="G354" t="inlineStr">
        <is>
          <t>VARBERG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46305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46305</v>
      </c>
      <c r="F356" t="inlineStr">
        <is>
          <t>HALLANDS LÄN</t>
        </is>
      </c>
      <c r="G356" t="inlineStr">
        <is>
          <t>VARBERG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45014</v>
      </c>
      <c r="E357" s="1" t="n">
        <v>46305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44886</v>
      </c>
      <c r="E358" s="1" t="n">
        <v>46305</v>
      </c>
      <c r="F358" t="inlineStr">
        <is>
          <t>HALLANDS LÄN</t>
        </is>
      </c>
      <c r="G358" t="inlineStr">
        <is>
          <t>VARBERG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46305</v>
      </c>
      <c r="F359" t="inlineStr">
        <is>
          <t>HALLANDS LÄN</t>
        </is>
      </c>
      <c r="G359" t="inlineStr">
        <is>
          <t>VARBERG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46305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46305</v>
      </c>
      <c r="F361" t="inlineStr">
        <is>
          <t>HALLANDS LÄN</t>
        </is>
      </c>
      <c r="G361" t="inlineStr">
        <is>
          <t>VARBERG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46305</v>
      </c>
      <c r="F362" t="inlineStr">
        <is>
          <t>HALLANDS LÄN</t>
        </is>
      </c>
      <c r="G362" t="inlineStr">
        <is>
          <t>VARBERG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46305</v>
      </c>
      <c r="F363" t="inlineStr">
        <is>
          <t>HALLANDS LÄN</t>
        </is>
      </c>
      <c r="G363" t="inlineStr">
        <is>
          <t>VARBERG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46014</v>
      </c>
      <c r="E364" s="1" t="n">
        <v>46305</v>
      </c>
      <c r="F364" t="inlineStr">
        <is>
          <t>HALLANDS LÄN</t>
        </is>
      </c>
      <c r="G364" t="inlineStr">
        <is>
          <t>VARBERG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63630-2025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46014</v>
      </c>
      <c r="E365" s="1" t="n">
        <v>46305</v>
      </c>
      <c r="F365" t="inlineStr">
        <is>
          <t>HALLANDS LÄN</t>
        </is>
      </c>
      <c r="G365" t="inlineStr">
        <is>
          <t>VARBERG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46014</v>
      </c>
      <c r="E366" s="1" t="n">
        <v>46305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45852</v>
      </c>
      <c r="E367" s="1" t="n">
        <v>46305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44797</v>
      </c>
      <c r="E368" s="1" t="n">
        <v>46305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46305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46305</v>
      </c>
      <c r="F370" t="inlineStr">
        <is>
          <t>HALLANDS LÄN</t>
        </is>
      </c>
      <c r="G370" t="inlineStr">
        <is>
          <t>VARBERG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46305</v>
      </c>
      <c r="F371" t="inlineStr">
        <is>
          <t>HALLANDS LÄN</t>
        </is>
      </c>
      <c r="G371" t="inlineStr">
        <is>
          <t>VARBERG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44981</v>
      </c>
      <c r="E372" s="1" t="n">
        <v>46305</v>
      </c>
      <c r="F372" t="inlineStr">
        <is>
          <t>HALLANDS LÄN</t>
        </is>
      </c>
      <c r="G372" t="inlineStr">
        <is>
          <t>VARBERG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46305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45623</v>
      </c>
      <c r="E374" s="1" t="n">
        <v>46305</v>
      </c>
      <c r="F374" t="inlineStr">
        <is>
          <t>HALLANDS LÄN</t>
        </is>
      </c>
      <c r="G374" t="inlineStr">
        <is>
          <t>VARBERG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46305</v>
      </c>
      <c r="F375" t="inlineStr">
        <is>
          <t>HALLANDS LÄN</t>
        </is>
      </c>
      <c r="G375" t="inlineStr">
        <is>
          <t>VARBERG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44722</v>
      </c>
      <c r="E376" s="1" t="n">
        <v>46305</v>
      </c>
      <c r="F376" t="inlineStr">
        <is>
          <t>HALLANDS LÄN</t>
        </is>
      </c>
      <c r="G376" t="inlineStr">
        <is>
          <t>VARBERG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45477</v>
      </c>
      <c r="E377" s="1" t="n">
        <v>46305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46305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46305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46305</v>
      </c>
      <c r="F380" t="inlineStr">
        <is>
          <t>HALLANDS LÄN</t>
        </is>
      </c>
      <c r="G380" t="inlineStr">
        <is>
          <t>VARBERG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44981</v>
      </c>
      <c r="E381" s="1" t="n">
        <v>46305</v>
      </c>
      <c r="F381" t="inlineStr">
        <is>
          <t>HALLANDS LÄN</t>
        </is>
      </c>
      <c r="G381" t="inlineStr">
        <is>
          <t>VARBERG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64488-2021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46305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46047</v>
      </c>
      <c r="E383" s="1" t="n">
        <v>46305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45469</v>
      </c>
      <c r="E384" s="1" t="n">
        <v>46305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46305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46047</v>
      </c>
      <c r="E386" s="1" t="n">
        <v>46305</v>
      </c>
      <c r="F386" t="inlineStr">
        <is>
          <t>HALLANDS LÄN</t>
        </is>
      </c>
      <c r="G386" t="inlineStr">
        <is>
          <t>VARBERG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46305</v>
      </c>
      <c r="F387" t="inlineStr">
        <is>
          <t>HALLANDS LÄN</t>
        </is>
      </c>
      <c r="G387" t="inlineStr">
        <is>
          <t>VARBERG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45792</v>
      </c>
      <c r="E388" s="1" t="n">
        <v>46305</v>
      </c>
      <c r="F388" t="inlineStr">
        <is>
          <t>HALLANDS LÄN</t>
        </is>
      </c>
      <c r="G388" t="inlineStr">
        <is>
          <t>VARBERG</t>
        </is>
      </c>
      <c r="I388" t="n">
        <v>11.8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46305</v>
      </c>
      <c r="F389" t="inlineStr">
        <is>
          <t>HALLANDS LÄN</t>
        </is>
      </c>
      <c r="G389" t="inlineStr">
        <is>
          <t>VARBERG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46305</v>
      </c>
      <c r="F390" t="inlineStr">
        <is>
          <t>HALLANDS LÄN</t>
        </is>
      </c>
      <c r="G390" t="inlineStr">
        <is>
          <t>VARBERG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46305</v>
      </c>
      <c r="F391" t="inlineStr">
        <is>
          <t>HALLANDS LÄN</t>
        </is>
      </c>
      <c r="G391" t="inlineStr">
        <is>
          <t>VARBERG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46305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46305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45881</v>
      </c>
      <c r="E394" s="1" t="n">
        <v>46305</v>
      </c>
      <c r="F394" t="inlineStr">
        <is>
          <t>HALLANDS LÄN</t>
        </is>
      </c>
      <c r="G394" t="inlineStr">
        <is>
          <t>VARBERG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46305</v>
      </c>
      <c r="F395" t="inlineStr">
        <is>
          <t>HALLANDS LÄN</t>
        </is>
      </c>
      <c r="G395" t="inlineStr">
        <is>
          <t>VARBERG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46305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46305</v>
      </c>
      <c r="F397" t="inlineStr">
        <is>
          <t>HALLANDS LÄN</t>
        </is>
      </c>
      <c r="G397" t="inlineStr">
        <is>
          <t>VARBERG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46305</v>
      </c>
      <c r="F398" t="inlineStr">
        <is>
          <t>HALLANDS LÄN</t>
        </is>
      </c>
      <c r="G398" t="inlineStr">
        <is>
          <t>VARBERG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46305</v>
      </c>
      <c r="F399" t="inlineStr">
        <is>
          <t>HALLANDS LÄN</t>
        </is>
      </c>
      <c r="G399" t="inlineStr">
        <is>
          <t>VARBERG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46305</v>
      </c>
      <c r="F400" t="inlineStr">
        <is>
          <t>HALLANDS LÄN</t>
        </is>
      </c>
      <c r="G400" t="inlineStr">
        <is>
          <t>VARBERG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46305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46305</v>
      </c>
      <c r="F402" t="inlineStr">
        <is>
          <t>HALLANDS LÄN</t>
        </is>
      </c>
      <c r="G402" t="inlineStr">
        <is>
          <t>VARBERG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46305</v>
      </c>
      <c r="F403" t="inlineStr">
        <is>
          <t>HALLANDS LÄN</t>
        </is>
      </c>
      <c r="G403" t="inlineStr">
        <is>
          <t>VARBERG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46305</v>
      </c>
      <c r="F404" t="inlineStr">
        <is>
          <t>HALLANDS LÄN</t>
        </is>
      </c>
      <c r="G404" t="inlineStr">
        <is>
          <t>VARBERG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46305</v>
      </c>
      <c r="F405" t="inlineStr">
        <is>
          <t>HALLANDS LÄN</t>
        </is>
      </c>
      <c r="G405" t="inlineStr">
        <is>
          <t>VARBERG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45580</v>
      </c>
      <c r="E406" s="1" t="n">
        <v>46305</v>
      </c>
      <c r="F406" t="inlineStr">
        <is>
          <t>HALLANDS LÄN</t>
        </is>
      </c>
      <c r="G406" t="inlineStr">
        <is>
          <t>VARBERG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46305</v>
      </c>
      <c r="F407" t="inlineStr">
        <is>
          <t>HALLANDS LÄN</t>
        </is>
      </c>
      <c r="G407" t="inlineStr">
        <is>
          <t>VARBERG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46305</v>
      </c>
      <c r="F408" t="inlineStr">
        <is>
          <t>HALLANDS LÄN</t>
        </is>
      </c>
      <c r="G408" t="inlineStr">
        <is>
          <t>VARBERG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46305</v>
      </c>
      <c r="F409" t="inlineStr">
        <is>
          <t>HALLANDS LÄN</t>
        </is>
      </c>
      <c r="G409" t="inlineStr">
        <is>
          <t>VARBERG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46305</v>
      </c>
      <c r="F410" t="inlineStr">
        <is>
          <t>HALLANDS LÄN</t>
        </is>
      </c>
      <c r="G410" t="inlineStr">
        <is>
          <t>VARBERG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46305</v>
      </c>
      <c r="F411" t="inlineStr">
        <is>
          <t>HALLANDS LÄN</t>
        </is>
      </c>
      <c r="G411" t="inlineStr">
        <is>
          <t>VARBERG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46305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46305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46305</v>
      </c>
      <c r="F414" t="inlineStr">
        <is>
          <t>HALLANDS LÄN</t>
        </is>
      </c>
      <c r="G414" t="inlineStr">
        <is>
          <t>VARBERG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46305</v>
      </c>
      <c r="F415" t="inlineStr">
        <is>
          <t>HALLANDS LÄN</t>
        </is>
      </c>
      <c r="G415" t="inlineStr">
        <is>
          <t>VARBERG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46305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46305</v>
      </c>
      <c r="F417" t="inlineStr">
        <is>
          <t>HALLANDS LÄN</t>
        </is>
      </c>
      <c r="G417" t="inlineStr">
        <is>
          <t>VARBERG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46305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46305</v>
      </c>
      <c r="F419" t="inlineStr">
        <is>
          <t>HALLANDS LÄN</t>
        </is>
      </c>
      <c r="G419" t="inlineStr">
        <is>
          <t>VARBERG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46305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46305</v>
      </c>
      <c r="F421" t="inlineStr">
        <is>
          <t>HALLANDS LÄN</t>
        </is>
      </c>
      <c r="G421" t="inlineStr">
        <is>
          <t>VARBERG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46305</v>
      </c>
      <c r="F422" t="inlineStr">
        <is>
          <t>HALLANDS LÄN</t>
        </is>
      </c>
      <c r="G422" t="inlineStr">
        <is>
          <t>VARBERG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46305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46305</v>
      </c>
      <c r="F424" t="inlineStr">
        <is>
          <t>HALLANDS LÄN</t>
        </is>
      </c>
      <c r="G424" t="inlineStr">
        <is>
          <t>VARBERG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46305</v>
      </c>
      <c r="F425" t="inlineStr">
        <is>
          <t>HALLANDS LÄN</t>
        </is>
      </c>
      <c r="G425" t="inlineStr">
        <is>
          <t>VARBERG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46305</v>
      </c>
      <c r="F426" t="inlineStr">
        <is>
          <t>HALLANDS LÄN</t>
        </is>
      </c>
      <c r="G426" t="inlineStr">
        <is>
          <t>VARBERG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46305</v>
      </c>
      <c r="F427" t="inlineStr">
        <is>
          <t>HALLANDS LÄN</t>
        </is>
      </c>
      <c r="G427" t="inlineStr">
        <is>
          <t>VARBERG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46305</v>
      </c>
      <c r="F428" t="inlineStr">
        <is>
          <t>HALLANDS LÄN</t>
        </is>
      </c>
      <c r="G428" t="inlineStr">
        <is>
          <t>VARBERG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46305</v>
      </c>
      <c r="F429" t="inlineStr">
        <is>
          <t>HALLANDS LÄN</t>
        </is>
      </c>
      <c r="G429" t="inlineStr">
        <is>
          <t>VARBERG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46305</v>
      </c>
      <c r="F430" t="inlineStr">
        <is>
          <t>HALLANDS LÄN</t>
        </is>
      </c>
      <c r="G430" t="inlineStr">
        <is>
          <t>VARBERG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46305</v>
      </c>
      <c r="F431" t="inlineStr">
        <is>
          <t>HALLANDS LÄN</t>
        </is>
      </c>
      <c r="G431" t="inlineStr">
        <is>
          <t>VARBERG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51932-2024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45607</v>
      </c>
      <c r="E432" s="1" t="n">
        <v>46305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9614-2024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45361</v>
      </c>
      <c r="E433" s="1" t="n">
        <v>46305</v>
      </c>
      <c r="F433" t="inlineStr">
        <is>
          <t>HALLANDS LÄN</t>
        </is>
      </c>
      <c r="G433" t="inlineStr">
        <is>
          <t>VARBERG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46305</v>
      </c>
      <c r="F434" t="inlineStr">
        <is>
          <t>HALLANDS LÄN</t>
        </is>
      </c>
      <c r="G434" t="inlineStr">
        <is>
          <t>VARBERG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46305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46305</v>
      </c>
      <c r="F436" t="inlineStr">
        <is>
          <t>HALLANDS LÄN</t>
        </is>
      </c>
      <c r="G436" t="inlineStr">
        <is>
          <t>VARBERG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46273</v>
      </c>
      <c r="E437" s="1" t="n">
        <v>46305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46234</v>
      </c>
      <c r="E438" s="1" t="n">
        <v>46305</v>
      </c>
      <c r="F438" t="inlineStr">
        <is>
          <t>HALLANDS LÄN</t>
        </is>
      </c>
      <c r="G438" t="inlineStr">
        <is>
          <t>VARBERG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46237</v>
      </c>
      <c r="E439" s="1" t="n">
        <v>46305</v>
      </c>
      <c r="F439" t="inlineStr">
        <is>
          <t>HALLANDS LÄN</t>
        </is>
      </c>
      <c r="G439" t="inlineStr">
        <is>
          <t>VARBERG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46305</v>
      </c>
      <c r="F440" t="inlineStr">
        <is>
          <t>HALLANDS LÄN</t>
        </is>
      </c>
      <c r="G440" t="inlineStr">
        <is>
          <t>VARBERG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36424-2026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46269</v>
      </c>
      <c r="E441" s="1" t="n">
        <v>46305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46305</v>
      </c>
      <c r="F442" t="inlineStr">
        <is>
          <t>HALLANDS LÄN</t>
        </is>
      </c>
      <c r="G442" t="inlineStr">
        <is>
          <t>VARBERG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46305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38755-2026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46305</v>
      </c>
      <c r="F444" t="inlineStr">
        <is>
          <t>HALLANDS LÄN</t>
        </is>
      </c>
      <c r="G444" t="inlineStr">
        <is>
          <t>VARBERG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46305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46305</v>
      </c>
      <c r="F446" t="inlineStr">
        <is>
          <t>HALLANDS LÄN</t>
        </is>
      </c>
      <c r="G446" t="inlineStr">
        <is>
          <t>VARBERG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46305</v>
      </c>
      <c r="F447" t="inlineStr">
        <is>
          <t>HALLANDS LÄN</t>
        </is>
      </c>
      <c r="G447" t="inlineStr">
        <is>
          <t>VARBERG</t>
        </is>
      </c>
      <c r="H447" t="inlineStr">
        <is>
          <t>Övriga statliga verk och myndigheter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46251</v>
      </c>
      <c r="E448" s="1" t="n">
        <v>46305</v>
      </c>
      <c r="F448" t="inlineStr">
        <is>
          <t>HALLANDS LÄN</t>
        </is>
      </c>
      <c r="G448" t="inlineStr">
        <is>
          <t>VARBERG</t>
        </is>
      </c>
      <c r="H448" t="inlineStr">
        <is>
          <t>Övriga statliga verk och myndigheter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46305</v>
      </c>
      <c r="F449" t="inlineStr">
        <is>
          <t>HALLANDS LÄN</t>
        </is>
      </c>
      <c r="G449" t="inlineStr">
        <is>
          <t>VARBERG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37872-2026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46279</v>
      </c>
      <c r="E450" s="1" t="n">
        <v>46305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46295</v>
      </c>
      <c r="E451" s="1" t="n">
        <v>46305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46305</v>
      </c>
      <c r="F452" t="inlineStr">
        <is>
          <t>HALLANDS LÄN</t>
        </is>
      </c>
      <c r="G452" t="inlineStr">
        <is>
          <t>VARBERG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46305</v>
      </c>
      <c r="F453" t="inlineStr">
        <is>
          <t>HALLANDS LÄN</t>
        </is>
      </c>
      <c r="G453" t="inlineStr">
        <is>
          <t>VARBERG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46305</v>
      </c>
      <c r="F454" t="inlineStr">
        <is>
          <t>HALLANDS LÄN</t>
        </is>
      </c>
      <c r="G454" t="inlineStr">
        <is>
          <t>VARBERG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46299</v>
      </c>
      <c r="E455" s="1" t="n">
        <v>46305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46305</v>
      </c>
      <c r="F456" t="inlineStr">
        <is>
          <t>HALLANDS LÄN</t>
        </is>
      </c>
      <c r="G456" t="inlineStr">
        <is>
          <t>VARBERG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46300</v>
      </c>
      <c r="E457" s="1" t="n">
        <v>46305</v>
      </c>
      <c r="F457" t="inlineStr">
        <is>
          <t>HALLANDS LÄN</t>
        </is>
      </c>
      <c r="G457" t="inlineStr">
        <is>
          <t>VARBERG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36423-2026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46269</v>
      </c>
      <c r="E458" s="1" t="n">
        <v>46305</v>
      </c>
      <c r="F458" t="inlineStr">
        <is>
          <t>HALLANDS LÄN</t>
        </is>
      </c>
      <c r="G458" t="inlineStr">
        <is>
          <t>VARBERG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36425-2026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46269</v>
      </c>
      <c r="E459" s="1" t="n">
        <v>46305</v>
      </c>
      <c r="F459" t="inlineStr">
        <is>
          <t>HALLANDS LÄN</t>
        </is>
      </c>
      <c r="G459" t="inlineStr">
        <is>
          <t>VARBERG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46301</v>
      </c>
      <c r="E460" s="1" t="n">
        <v>46305</v>
      </c>
      <c r="F460" t="inlineStr">
        <is>
          <t>HALLANDS LÄN</t>
        </is>
      </c>
      <c r="G460" t="inlineStr">
        <is>
          <t>VARBERG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46303</v>
      </c>
      <c r="E461" s="1" t="n">
        <v>46305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46305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46305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46305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46305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46305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46305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46305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46305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46305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46305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46305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46305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46305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46305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46305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46305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46305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46305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2026-10-10T02:06:42Z</dcterms:created>
  <dcterms:modified xmlns:dcterms="http://purl.org/dc/terms/" xmlns:xsi="http://www.w3.org/2001/XMLSchema-instance" xsi:type="dcterms:W3CDTF">2026-10-10T02:06:42Z</dcterms:modified>
</cp:coreProperties>
</file>