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46326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46326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46326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46326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46326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46326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46326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46326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46326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46326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46326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46326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46326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46326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46326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46326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46326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46326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46326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46326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46326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46326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42573-2022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46326</v>
      </c>
      <c r="F24" t="inlineStr">
        <is>
          <t>HALLANDS LÄN</t>
        </is>
      </c>
      <c r="G24" t="inlineStr">
        <is>
          <t>VARBERG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Brun glada</t>
        </is>
      </c>
      <c r="W24">
        <f>HYPERLINK("https://klasma.github.io/Logging_1383/artfynd/A 42573-2022 artfynd.xlsx", "A 42573-2022")</f>
        <v/>
      </c>
      <c r="X24">
        <f>HYPERLINK("https://klasma.github.io/Logging_1383/kartor/A 42573-2022 karta.png", "A 42573-2022")</f>
        <v/>
      </c>
      <c r="Y24">
        <f>HYPERLINK("https://klasma.github.io/Logging_1383/kartor_geotiff/A 42573-2022 georefererad karta.tif", "A 42573-2022")</f>
        <v/>
      </c>
      <c r="AA24">
        <f>HYPERLINK("https://klasma.github.io/Logging_1383/klagomål/A 42573-2022 FSC-klagomål.docx", "A 42573-2022")</f>
        <v/>
      </c>
      <c r="AB24">
        <f>HYPERLINK("https://klasma.github.io/Logging_1383/klagomålsmail/A 42573-2022 FSC-klagomål mail.docx", "A 42573-2022")</f>
        <v/>
      </c>
      <c r="AC24">
        <f>HYPERLINK("https://klasma.github.io/Logging_1383/tillsyn/A 42573-2022 tillsynsbegäran.docx", "A 42573-2022")</f>
        <v/>
      </c>
      <c r="AD24">
        <f>HYPERLINK("https://klasma.github.io/Logging_1383/tillsynsmail/A 42573-2022 tillsynsbegäran mail.docx", "A 42573-2022")</f>
        <v/>
      </c>
      <c r="AE24">
        <f>HYPERLINK("https://klasma.github.io/Logging_1383/fåglar/A 42573-2022 prioriterade fågelarter.docx", "A 42573-2022")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46326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46326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46326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46326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46326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46326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46326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46326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46326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46326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46326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46326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A 44357-2026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46321</v>
      </c>
      <c r="E37" s="1" t="n">
        <v>46326</v>
      </c>
      <c r="F37" t="inlineStr">
        <is>
          <t>HALLANDS LÄN</t>
        </is>
      </c>
      <c r="G37" t="inlineStr">
        <is>
          <t>VARBERG</t>
        </is>
      </c>
      <c r="I37" t="n">
        <v>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44357-2026 artfynd.xlsx", "A 44357-2026")</f>
        <v/>
      </c>
      <c r="X37">
        <f>HYPERLINK("https://klasma.github.io/Logging_1383/kartor/A 44357-2026 karta.png", "A 44357-2026")</f>
        <v/>
      </c>
      <c r="Y37">
        <f>HYPERLINK("https://klasma.github.io/Logging_1383/kartor_geotiff/A 44357-2026 georefererad karta.tif", "A 44357-2026")</f>
        <v/>
      </c>
      <c r="AA37">
        <f>HYPERLINK("https://klasma.github.io/Logging_1383/klagomål/A 44357-2026 FSC-klagomål.docx", "A 44357-2026")</f>
        <v/>
      </c>
      <c r="AB37">
        <f>HYPERLINK("https://klasma.github.io/Logging_1383/klagomålsmail/A 44357-2026 FSC-klagomål mail.docx", "A 44357-2026")</f>
        <v/>
      </c>
      <c r="AC37">
        <f>HYPERLINK("https://klasma.github.io/Logging_1383/tillsyn/A 44357-2026 tillsynsbegäran.docx", "A 44357-2026")</f>
        <v/>
      </c>
      <c r="AD37">
        <f>HYPERLINK("https://klasma.github.io/Logging_1383/tillsynsmail/A 44357-2026 tillsynsbegäran mail.docx", "A 44357-2026")</f>
        <v/>
      </c>
      <c r="AE37">
        <f>HYPERLINK("https://klasma.github.io/Logging_1383/fåglar/A 44357-2026 prioriterade fågelarter.docx", "A 44357-2026")</f>
        <v/>
      </c>
    </row>
    <row r="38" ht="15" customHeight="1">
      <c r="A38" t="inlineStr">
        <is>
          <t>A 38094-2026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46326</v>
      </c>
      <c r="F38" t="inlineStr">
        <is>
          <t>HALLANDS LÄN</t>
        </is>
      </c>
      <c r="G38" t="inlineStr">
        <is>
          <t>VARBERG</t>
        </is>
      </c>
      <c r="I38" t="n">
        <v>8.800000000000001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HYPERLINK("https://klasma.github.io/Logging_1383/artfynd/A 38094-2026 artfynd.xlsx", "A 38094-2026")</f>
        <v/>
      </c>
      <c r="X38">
        <f>HYPERLINK("https://klasma.github.io/Logging_1383/kartor/A 38094-2026 karta.png", "A 38094-2026")</f>
        <v/>
      </c>
      <c r="Y38">
        <f>HYPERLINK("https://klasma.github.io/Logging_1383/kartor_geotiff/A 38094-2026 georefererad karta.tif", "A 38094-2026")</f>
        <v/>
      </c>
      <c r="AA38">
        <f>HYPERLINK("https://klasma.github.io/Logging_1383/klagomål/A 38094-2026 FSC-klagomål.docx", "A 38094-2026")</f>
        <v/>
      </c>
      <c r="AB38">
        <f>HYPERLINK("https://klasma.github.io/Logging_1383/klagomålsmail/A 38094-2026 FSC-klagomål mail.docx", "A 38094-2026")</f>
        <v/>
      </c>
      <c r="AC38">
        <f>HYPERLINK("https://klasma.github.io/Logging_1383/tillsyn/A 38094-2026 tillsynsbegäran.docx", "A 38094-2026")</f>
        <v/>
      </c>
      <c r="AD38">
        <f>HYPERLINK("https://klasma.github.io/Logging_1383/tillsynsmail/A 38094-2026 tillsynsbegäran mail.docx", "A 38094-2026")</f>
        <v/>
      </c>
      <c r="AE38">
        <f>HYPERLINK("https://klasma.github.io/Logging_1383/fåglar/A 38094-2026 prioriterade fågelarter.docx", "A 38094-2026")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46326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46326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46326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46326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46326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46326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46326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46326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46326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46326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46326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46326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46326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46326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46326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46326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46326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46326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46326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46326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46326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46326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46326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46326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46326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46326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46326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46326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46326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46326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46326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46326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46326</v>
      </c>
      <c r="F71" t="inlineStr">
        <is>
          <t>HALLANDS LÄN</t>
        </is>
      </c>
      <c r="G71" t="inlineStr">
        <is>
          <t>VARBERG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46326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46326</v>
      </c>
      <c r="F73" t="inlineStr">
        <is>
          <t>HALLANDS LÄN</t>
        </is>
      </c>
      <c r="G73" t="inlineStr">
        <is>
          <t>VARBERG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46326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46326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46326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46326</v>
      </c>
      <c r="F77" t="inlineStr">
        <is>
          <t>HALLANDS LÄN</t>
        </is>
      </c>
      <c r="G77" t="inlineStr">
        <is>
          <t>VARBERG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46326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46326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46326</v>
      </c>
      <c r="F80" t="inlineStr">
        <is>
          <t>HALLANDS LÄN</t>
        </is>
      </c>
      <c r="G80" t="inlineStr">
        <is>
          <t>VARBERG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46326</v>
      </c>
      <c r="F81" t="inlineStr">
        <is>
          <t>HALLANDS LÄN</t>
        </is>
      </c>
      <c r="G81" t="inlineStr">
        <is>
          <t>VARBERG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46326</v>
      </c>
      <c r="F82" t="inlineStr">
        <is>
          <t>HALLANDS LÄN</t>
        </is>
      </c>
      <c r="G82" t="inlineStr">
        <is>
          <t>VARBERG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46326</v>
      </c>
      <c r="F83" t="inlineStr">
        <is>
          <t>HALLANDS LÄN</t>
        </is>
      </c>
      <c r="G83" t="inlineStr">
        <is>
          <t>VARBERG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2464-2024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45313</v>
      </c>
      <c r="E84" s="1" t="n">
        <v>46326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45737</v>
      </c>
      <c r="E85" s="1" t="n">
        <v>46326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46326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46326</v>
      </c>
      <c r="F87" t="inlineStr">
        <is>
          <t>HALLANDS LÄN</t>
        </is>
      </c>
      <c r="G87" t="inlineStr">
        <is>
          <t>VARBERG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46326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46326</v>
      </c>
      <c r="F89" t="inlineStr">
        <is>
          <t>HALLANDS LÄN</t>
        </is>
      </c>
      <c r="G89" t="inlineStr">
        <is>
          <t>VARBERG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46326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44875</v>
      </c>
      <c r="E91" s="1" t="n">
        <v>46326</v>
      </c>
      <c r="F91" t="inlineStr">
        <is>
          <t>HALLANDS LÄN</t>
        </is>
      </c>
      <c r="G91" t="inlineStr">
        <is>
          <t>VARBERG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45672</v>
      </c>
      <c r="E92" s="1" t="n">
        <v>46326</v>
      </c>
      <c r="F92" t="inlineStr">
        <is>
          <t>HALLANDS LÄN</t>
        </is>
      </c>
      <c r="G92" t="inlineStr">
        <is>
          <t>VARBERG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46326</v>
      </c>
      <c r="F93" t="inlineStr">
        <is>
          <t>HALLANDS LÄN</t>
        </is>
      </c>
      <c r="G93" t="inlineStr">
        <is>
          <t>VARBERG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45749</v>
      </c>
      <c r="E94" s="1" t="n">
        <v>46326</v>
      </c>
      <c r="F94" t="inlineStr">
        <is>
          <t>HALLANDS LÄN</t>
        </is>
      </c>
      <c r="G94" t="inlineStr">
        <is>
          <t>VARBERG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46326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46326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45487</v>
      </c>
      <c r="E97" s="1" t="n">
        <v>46326</v>
      </c>
      <c r="F97" t="inlineStr">
        <is>
          <t>HALLANDS LÄN</t>
        </is>
      </c>
      <c r="G97" t="inlineStr">
        <is>
          <t>VARBERG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46326</v>
      </c>
      <c r="F98" t="inlineStr">
        <is>
          <t>HALLANDS LÄN</t>
        </is>
      </c>
      <c r="G98" t="inlineStr">
        <is>
          <t>VARBERG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26117-2025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45805</v>
      </c>
      <c r="E99" s="1" t="n">
        <v>46326</v>
      </c>
      <c r="F99" t="inlineStr">
        <is>
          <t>HALLANDS LÄN</t>
        </is>
      </c>
      <c r="G99" t="inlineStr">
        <is>
          <t>VARBERG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46326</v>
      </c>
      <c r="F100" t="inlineStr">
        <is>
          <t>HALLANDS LÄN</t>
        </is>
      </c>
      <c r="G100" t="inlineStr">
        <is>
          <t>VARBERG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46326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46326</v>
      </c>
      <c r="F102" t="inlineStr">
        <is>
          <t>HALLANDS LÄN</t>
        </is>
      </c>
      <c r="G102" t="inlineStr">
        <is>
          <t>VARBERG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46326</v>
      </c>
      <c r="F103" t="inlineStr">
        <is>
          <t>HALLANDS LÄN</t>
        </is>
      </c>
      <c r="G103" t="inlineStr">
        <is>
          <t>VARBERG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46024</v>
      </c>
      <c r="E104" s="1" t="n">
        <v>46326</v>
      </c>
      <c r="F104" t="inlineStr">
        <is>
          <t>HALLANDS LÄN</t>
        </is>
      </c>
      <c r="G104" t="inlineStr">
        <is>
          <t>VARBERG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28092-2024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45476</v>
      </c>
      <c r="E105" s="1" t="n">
        <v>46326</v>
      </c>
      <c r="F105" t="inlineStr">
        <is>
          <t>HALLANDS LÄN</t>
        </is>
      </c>
      <c r="G105" t="inlineStr">
        <is>
          <t>VARBERG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45352</v>
      </c>
      <c r="E106" s="1" t="n">
        <v>46326</v>
      </c>
      <c r="F106" t="inlineStr">
        <is>
          <t>HALLANDS LÄN</t>
        </is>
      </c>
      <c r="G106" t="inlineStr">
        <is>
          <t>VARBERG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44649</v>
      </c>
      <c r="E107" s="1" t="n">
        <v>46326</v>
      </c>
      <c r="F107" t="inlineStr">
        <is>
          <t>HALLANDS LÄN</t>
        </is>
      </c>
      <c r="G107" t="inlineStr">
        <is>
          <t>VARBERG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46326</v>
      </c>
      <c r="F108" t="inlineStr">
        <is>
          <t>HALLANDS LÄN</t>
        </is>
      </c>
      <c r="G108" t="inlineStr">
        <is>
          <t>VARBERG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27524-2025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46326</v>
      </c>
      <c r="F109" t="inlineStr">
        <is>
          <t>HALLANDS LÄN</t>
        </is>
      </c>
      <c r="G109" t="inlineStr">
        <is>
          <t>VARBERG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46326</v>
      </c>
      <c r="F110" t="inlineStr">
        <is>
          <t>HALLANDS LÄN</t>
        </is>
      </c>
      <c r="G110" t="inlineStr">
        <is>
          <t>VARBERG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46326</v>
      </c>
      <c r="F111" t="inlineStr">
        <is>
          <t>HALLANDS LÄN</t>
        </is>
      </c>
      <c r="G111" t="inlineStr">
        <is>
          <t>VARBERG</t>
        </is>
      </c>
      <c r="H111" t="inlineStr">
        <is>
          <t>Övriga statliga verk och myndigheter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46326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46326</v>
      </c>
      <c r="F113" t="inlineStr">
        <is>
          <t>HALLANDS LÄN</t>
        </is>
      </c>
      <c r="G113" t="inlineStr">
        <is>
          <t>VARBERG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46326</v>
      </c>
      <c r="F114" t="inlineStr">
        <is>
          <t>HALLANDS LÄN</t>
        </is>
      </c>
      <c r="G114" t="inlineStr">
        <is>
          <t>VARBERG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45741</v>
      </c>
      <c r="E115" s="1" t="n">
        <v>46326</v>
      </c>
      <c r="F115" t="inlineStr">
        <is>
          <t>HALLANDS LÄN</t>
        </is>
      </c>
      <c r="G115" t="inlineStr">
        <is>
          <t>VARBERG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46326</v>
      </c>
      <c r="F116" t="inlineStr">
        <is>
          <t>HALLANDS LÄN</t>
        </is>
      </c>
      <c r="G116" t="inlineStr">
        <is>
          <t>VARBERG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46326</v>
      </c>
      <c r="F117" t="inlineStr">
        <is>
          <t>HALLANDS LÄN</t>
        </is>
      </c>
      <c r="G117" t="inlineStr">
        <is>
          <t>VARBERG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46326</v>
      </c>
      <c r="F118" t="inlineStr">
        <is>
          <t>HALLANDS LÄN</t>
        </is>
      </c>
      <c r="G118" t="inlineStr">
        <is>
          <t>VARBERG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35018-2025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45851</v>
      </c>
      <c r="E119" s="1" t="n">
        <v>46326</v>
      </c>
      <c r="F119" t="inlineStr">
        <is>
          <t>HALLANDS LÄN</t>
        </is>
      </c>
      <c r="G119" t="inlineStr">
        <is>
          <t>VARBERG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46326</v>
      </c>
      <c r="F120" t="inlineStr">
        <is>
          <t>HALLANDS LÄN</t>
        </is>
      </c>
      <c r="G120" t="inlineStr">
        <is>
          <t>VARBERG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46326</v>
      </c>
      <c r="F121" t="inlineStr">
        <is>
          <t>HALLANDS LÄN</t>
        </is>
      </c>
      <c r="G121" t="inlineStr">
        <is>
          <t>VARBERG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46326</v>
      </c>
      <c r="F122" t="inlineStr">
        <is>
          <t>HALLANDS LÄN</t>
        </is>
      </c>
      <c r="G122" t="inlineStr">
        <is>
          <t>VARBERG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46326</v>
      </c>
      <c r="F123" t="inlineStr">
        <is>
          <t>HALLANDS LÄN</t>
        </is>
      </c>
      <c r="G123" t="inlineStr">
        <is>
          <t>VARBERG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46326</v>
      </c>
      <c r="F124" t="inlineStr">
        <is>
          <t>HALLANDS LÄN</t>
        </is>
      </c>
      <c r="G124" t="inlineStr">
        <is>
          <t>VARBERG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46326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46326</v>
      </c>
      <c r="F126" t="inlineStr">
        <is>
          <t>HALLANDS LÄN</t>
        </is>
      </c>
      <c r="G126" t="inlineStr">
        <is>
          <t>VARBERG</t>
        </is>
      </c>
      <c r="I126" t="n">
        <v>8.5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46326</v>
      </c>
      <c r="F127" t="inlineStr">
        <is>
          <t>HALLANDS LÄN</t>
        </is>
      </c>
      <c r="G127" t="inlineStr">
        <is>
          <t>VARBERG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46326</v>
      </c>
      <c r="F128" t="inlineStr">
        <is>
          <t>HALLANDS LÄN</t>
        </is>
      </c>
      <c r="G128" t="inlineStr">
        <is>
          <t>VARBERG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46326</v>
      </c>
      <c r="F129" t="inlineStr">
        <is>
          <t>HALLANDS LÄN</t>
        </is>
      </c>
      <c r="G129" t="inlineStr">
        <is>
          <t>VARBERG</t>
        </is>
      </c>
      <c r="I129" t="n">
        <v>18.8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71841-2021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44543</v>
      </c>
      <c r="E130" s="1" t="n">
        <v>46326</v>
      </c>
      <c r="F130" t="inlineStr">
        <is>
          <t>HALLANDS LÄN</t>
        </is>
      </c>
      <c r="G130" t="inlineStr">
        <is>
          <t>VARBERG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46326</v>
      </c>
      <c r="F131" t="inlineStr">
        <is>
          <t>HALLANDS LÄN</t>
        </is>
      </c>
      <c r="G131" t="inlineStr">
        <is>
          <t>VARBERG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46326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46326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46326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46326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46326</v>
      </c>
      <c r="F136" t="inlineStr">
        <is>
          <t>HALLANDS LÄN</t>
        </is>
      </c>
      <c r="G136" t="inlineStr">
        <is>
          <t>VARBERG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46326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45411</v>
      </c>
      <c r="E138" s="1" t="n">
        <v>46326</v>
      </c>
      <c r="F138" t="inlineStr">
        <is>
          <t>HALLANDS LÄN</t>
        </is>
      </c>
      <c r="G138" t="inlineStr">
        <is>
          <t>VARBERG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46326</v>
      </c>
      <c r="F139" t="inlineStr">
        <is>
          <t>HALLANDS LÄN</t>
        </is>
      </c>
      <c r="G139" t="inlineStr">
        <is>
          <t>VARBERG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46326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46326</v>
      </c>
      <c r="F141" t="inlineStr">
        <is>
          <t>HALLANDS LÄN</t>
        </is>
      </c>
      <c r="G141" t="inlineStr">
        <is>
          <t>VARBERG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46326</v>
      </c>
      <c r="F142" t="inlineStr">
        <is>
          <t>HALLANDS LÄN</t>
        </is>
      </c>
      <c r="G142" t="inlineStr">
        <is>
          <t>VARBERG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44574</v>
      </c>
      <c r="E143" s="1" t="n">
        <v>46326</v>
      </c>
      <c r="F143" t="inlineStr">
        <is>
          <t>HALLANDS LÄN</t>
        </is>
      </c>
      <c r="G143" t="inlineStr">
        <is>
          <t>VARBERG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13713-2023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45007</v>
      </c>
      <c r="E144" s="1" t="n">
        <v>46326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8263-2023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44974</v>
      </c>
      <c r="E145" s="1" t="n">
        <v>46326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13600-2025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45736</v>
      </c>
      <c r="E146" s="1" t="n">
        <v>46326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46326</v>
      </c>
      <c r="F147" t="inlineStr">
        <is>
          <t>HALLANDS LÄN</t>
        </is>
      </c>
      <c r="G147" t="inlineStr">
        <is>
          <t>VARBERG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10229-2023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44980</v>
      </c>
      <c r="E148" s="1" t="n">
        <v>46326</v>
      </c>
      <c r="F148" t="inlineStr">
        <is>
          <t>HALLANDS LÄN</t>
        </is>
      </c>
      <c r="G148" t="inlineStr">
        <is>
          <t>VARBERG</t>
        </is>
      </c>
      <c r="H148" t="inlineStr">
        <is>
          <t>Övriga statliga verk och myndigheter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46047</v>
      </c>
      <c r="E149" s="1" t="n">
        <v>46326</v>
      </c>
      <c r="F149" t="inlineStr">
        <is>
          <t>HALLANDS LÄN</t>
        </is>
      </c>
      <c r="G149" t="inlineStr">
        <is>
          <t>VARBERG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46326</v>
      </c>
      <c r="F150" t="inlineStr">
        <is>
          <t>HALLANDS LÄN</t>
        </is>
      </c>
      <c r="G150" t="inlineStr">
        <is>
          <t>VARBERG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44649</v>
      </c>
      <c r="E151" s="1" t="n">
        <v>46326</v>
      </c>
      <c r="F151" t="inlineStr">
        <is>
          <t>HALLANDS LÄN</t>
        </is>
      </c>
      <c r="G151" t="inlineStr">
        <is>
          <t>VARBERG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46326</v>
      </c>
      <c r="F152" t="inlineStr">
        <is>
          <t>HALLANDS LÄN</t>
        </is>
      </c>
      <c r="G152" t="inlineStr">
        <is>
          <t>VARBERG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46326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46326</v>
      </c>
      <c r="F154" t="inlineStr">
        <is>
          <t>HALLANDS LÄN</t>
        </is>
      </c>
      <c r="G154" t="inlineStr">
        <is>
          <t>VARBERG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45852</v>
      </c>
      <c r="E155" s="1" t="n">
        <v>46326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45852</v>
      </c>
      <c r="E156" s="1" t="n">
        <v>46326</v>
      </c>
      <c r="F156" t="inlineStr">
        <is>
          <t>HALLANDS LÄN</t>
        </is>
      </c>
      <c r="G156" t="inlineStr">
        <is>
          <t>VARBERG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46047</v>
      </c>
      <c r="E157" s="1" t="n">
        <v>46326</v>
      </c>
      <c r="F157" t="inlineStr">
        <is>
          <t>HALLANDS LÄN</t>
        </is>
      </c>
      <c r="G157" t="inlineStr">
        <is>
          <t>VARBERG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46326</v>
      </c>
      <c r="F158" t="inlineStr">
        <is>
          <t>HALLANDS LÄN</t>
        </is>
      </c>
      <c r="G158" t="inlineStr">
        <is>
          <t>VARBERG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46326</v>
      </c>
      <c r="F159" t="inlineStr">
        <is>
          <t>HALLANDS LÄN</t>
        </is>
      </c>
      <c r="G159" t="inlineStr">
        <is>
          <t>VARBERG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46326</v>
      </c>
      <c r="F160" t="inlineStr">
        <is>
          <t>HALLANDS LÄN</t>
        </is>
      </c>
      <c r="G160" t="inlineStr">
        <is>
          <t>VARBERG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46326</v>
      </c>
      <c r="F161" t="inlineStr">
        <is>
          <t>HALLANDS LÄN</t>
        </is>
      </c>
      <c r="G161" t="inlineStr">
        <is>
          <t>VARBERG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46326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46326</v>
      </c>
      <c r="F163" t="inlineStr">
        <is>
          <t>HALLANDS LÄN</t>
        </is>
      </c>
      <c r="G163" t="inlineStr">
        <is>
          <t>VARBERG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45200</v>
      </c>
      <c r="E164" s="1" t="n">
        <v>46326</v>
      </c>
      <c r="F164" t="inlineStr">
        <is>
          <t>HALLANDS LÄN</t>
        </is>
      </c>
      <c r="G164" t="inlineStr">
        <is>
          <t>VARBERG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46326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46326</v>
      </c>
      <c r="F166" t="inlineStr">
        <is>
          <t>HALLANDS LÄN</t>
        </is>
      </c>
      <c r="G166" t="inlineStr">
        <is>
          <t>VARBERG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46326</v>
      </c>
      <c r="F167" t="inlineStr">
        <is>
          <t>HALLANDS LÄN</t>
        </is>
      </c>
      <c r="G167" t="inlineStr">
        <is>
          <t>VARBERG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46326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44545</v>
      </c>
      <c r="E169" s="1" t="n">
        <v>46326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46326</v>
      </c>
      <c r="F170" t="inlineStr">
        <is>
          <t>HALLANDS LÄN</t>
        </is>
      </c>
      <c r="G170" t="inlineStr">
        <is>
          <t>VARBERG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46326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48027-2025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46326</v>
      </c>
      <c r="F172" t="inlineStr">
        <is>
          <t>HALLANDS LÄN</t>
        </is>
      </c>
      <c r="G172" t="inlineStr">
        <is>
          <t>VARBERG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44982</v>
      </c>
      <c r="E173" s="1" t="n">
        <v>46326</v>
      </c>
      <c r="F173" t="inlineStr">
        <is>
          <t>HALLANDS LÄN</t>
        </is>
      </c>
      <c r="G173" t="inlineStr">
        <is>
          <t>VARBERG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46326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46326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44949</v>
      </c>
      <c r="E176" s="1" t="n">
        <v>46326</v>
      </c>
      <c r="F176" t="inlineStr">
        <is>
          <t>HALLANDS LÄN</t>
        </is>
      </c>
      <c r="G176" t="inlineStr">
        <is>
          <t>VARBERG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46326</v>
      </c>
      <c r="F177" t="inlineStr">
        <is>
          <t>HALLANDS LÄN</t>
        </is>
      </c>
      <c r="G177" t="inlineStr">
        <is>
          <t>VARBERG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45313</v>
      </c>
      <c r="E178" s="1" t="n">
        <v>46326</v>
      </c>
      <c r="F178" t="inlineStr">
        <is>
          <t>HALLANDS LÄN</t>
        </is>
      </c>
      <c r="G178" t="inlineStr">
        <is>
          <t>VARBERG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46326</v>
      </c>
      <c r="F179" t="inlineStr">
        <is>
          <t>HALLANDS LÄN</t>
        </is>
      </c>
      <c r="G179" t="inlineStr">
        <is>
          <t>VARBERG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46326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46326</v>
      </c>
      <c r="F181" t="inlineStr">
        <is>
          <t>HALLANDS LÄN</t>
        </is>
      </c>
      <c r="G181" t="inlineStr">
        <is>
          <t>VARBERG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45597</v>
      </c>
      <c r="E182" s="1" t="n">
        <v>46326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46326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45873</v>
      </c>
      <c r="E184" s="1" t="n">
        <v>46326</v>
      </c>
      <c r="F184" t="inlineStr">
        <is>
          <t>HALLANDS LÄN</t>
        </is>
      </c>
      <c r="G184" t="inlineStr">
        <is>
          <t>VARBERG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44831</v>
      </c>
      <c r="E185" s="1" t="n">
        <v>46326</v>
      </c>
      <c r="F185" t="inlineStr">
        <is>
          <t>HALLANDS LÄN</t>
        </is>
      </c>
      <c r="G185" t="inlineStr">
        <is>
          <t>VARBERG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46326</v>
      </c>
      <c r="F186" t="inlineStr">
        <is>
          <t>HALLANDS LÄN</t>
        </is>
      </c>
      <c r="G186" t="inlineStr">
        <is>
          <t>VARBERG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49200-2025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46326</v>
      </c>
      <c r="F187" t="inlineStr">
        <is>
          <t>HALLANDS LÄN</t>
        </is>
      </c>
      <c r="G187" t="inlineStr">
        <is>
          <t>VARBERG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46326</v>
      </c>
      <c r="F188" t="inlineStr">
        <is>
          <t>HALLANDS LÄN</t>
        </is>
      </c>
      <c r="G188" t="inlineStr">
        <is>
          <t>VARBERG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46326</v>
      </c>
      <c r="F189" t="inlineStr">
        <is>
          <t>HALLANDS LÄN</t>
        </is>
      </c>
      <c r="G189" t="inlineStr">
        <is>
          <t>VARBERG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46326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46326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46326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46326</v>
      </c>
      <c r="F193" t="inlineStr">
        <is>
          <t>HALLANDS LÄN</t>
        </is>
      </c>
      <c r="G193" t="inlineStr">
        <is>
          <t>VARBERG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46326</v>
      </c>
      <c r="F194" t="inlineStr">
        <is>
          <t>HALLANDS LÄN</t>
        </is>
      </c>
      <c r="G194" t="inlineStr">
        <is>
          <t>VARBERG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46326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46326</v>
      </c>
      <c r="F196" t="inlineStr">
        <is>
          <t>HALLANDS LÄN</t>
        </is>
      </c>
      <c r="G196" t="inlineStr">
        <is>
          <t>VARBERG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46326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46326</v>
      </c>
      <c r="F198" t="inlineStr">
        <is>
          <t>HALLANDS LÄN</t>
        </is>
      </c>
      <c r="G198" t="inlineStr">
        <is>
          <t>VARBERG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46326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46326</v>
      </c>
      <c r="F200" t="inlineStr">
        <is>
          <t>HALLANDS LÄN</t>
        </is>
      </c>
      <c r="G200" t="inlineStr">
        <is>
          <t>VARBERG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46326</v>
      </c>
      <c r="F201" t="inlineStr">
        <is>
          <t>HALLANDS LÄN</t>
        </is>
      </c>
      <c r="G201" t="inlineStr">
        <is>
          <t>VARBERG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46326</v>
      </c>
      <c r="F202" t="inlineStr">
        <is>
          <t>HALLANDS LÄN</t>
        </is>
      </c>
      <c r="G202" t="inlineStr">
        <is>
          <t>VARBERG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46326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46326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46326</v>
      </c>
      <c r="F205" t="inlineStr">
        <is>
          <t>HALLANDS LÄN</t>
        </is>
      </c>
      <c r="G205" t="inlineStr">
        <is>
          <t>VARBERG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46326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46326</v>
      </c>
      <c r="F207" t="inlineStr">
        <is>
          <t>HALLANDS LÄN</t>
        </is>
      </c>
      <c r="G207" t="inlineStr">
        <is>
          <t>VARBERG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45364</v>
      </c>
      <c r="E208" s="1" t="n">
        <v>46326</v>
      </c>
      <c r="F208" t="inlineStr">
        <is>
          <t>HALLANDS LÄN</t>
        </is>
      </c>
      <c r="G208" t="inlineStr">
        <is>
          <t>VARBERG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46326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46326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46326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46326</v>
      </c>
      <c r="F212" t="inlineStr">
        <is>
          <t>HALLANDS LÄN</t>
        </is>
      </c>
      <c r="G212" t="inlineStr">
        <is>
          <t>VARBERG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44837</v>
      </c>
      <c r="E213" s="1" t="n">
        <v>46326</v>
      </c>
      <c r="F213" t="inlineStr">
        <is>
          <t>HALLANDS LÄN</t>
        </is>
      </c>
      <c r="G213" t="inlineStr">
        <is>
          <t>VARBERG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46326</v>
      </c>
      <c r="F214" t="inlineStr">
        <is>
          <t>HALLANDS LÄN</t>
        </is>
      </c>
      <c r="G214" t="inlineStr">
        <is>
          <t>VARBERG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46326</v>
      </c>
      <c r="F215" t="inlineStr">
        <is>
          <t>HALLANDS LÄN</t>
        </is>
      </c>
      <c r="G215" t="inlineStr">
        <is>
          <t>VARBERG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46326</v>
      </c>
      <c r="F216" t="inlineStr">
        <is>
          <t>HALLANDS LÄN</t>
        </is>
      </c>
      <c r="G216" t="inlineStr">
        <is>
          <t>VARBERG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46326</v>
      </c>
      <c r="F217" t="inlineStr">
        <is>
          <t>HALLANDS LÄN</t>
        </is>
      </c>
      <c r="G217" t="inlineStr">
        <is>
          <t>VARBERG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46326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46326</v>
      </c>
      <c r="F219" t="inlineStr">
        <is>
          <t>HALLANDS LÄN</t>
        </is>
      </c>
      <c r="G219" t="inlineStr">
        <is>
          <t>VARBERG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46326</v>
      </c>
      <c r="F220" t="inlineStr">
        <is>
          <t>HALLANDS LÄN</t>
        </is>
      </c>
      <c r="G220" t="inlineStr">
        <is>
          <t>VARBERG</t>
        </is>
      </c>
      <c r="H220" t="inlineStr">
        <is>
          <t>Kyrkan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46326</v>
      </c>
      <c r="F221" t="inlineStr">
        <is>
          <t>HALLANDS LÄN</t>
        </is>
      </c>
      <c r="G221" t="inlineStr">
        <is>
          <t>VARBERG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45589</v>
      </c>
      <c r="E222" s="1" t="n">
        <v>46326</v>
      </c>
      <c r="F222" t="inlineStr">
        <is>
          <t>HALLANDS LÄN</t>
        </is>
      </c>
      <c r="G222" t="inlineStr">
        <is>
          <t>VARBERG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46326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46326</v>
      </c>
      <c r="F224" t="inlineStr">
        <is>
          <t>HALLANDS LÄN</t>
        </is>
      </c>
      <c r="G224" t="inlineStr">
        <is>
          <t>VARBERG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46326</v>
      </c>
      <c r="F225" t="inlineStr">
        <is>
          <t>HALLANDS LÄN</t>
        </is>
      </c>
      <c r="G225" t="inlineStr">
        <is>
          <t>VARBERG</t>
        </is>
      </c>
      <c r="H225" t="inlineStr">
        <is>
          <t>Övriga statliga verk och myndigheter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46326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45055</v>
      </c>
      <c r="E227" s="1" t="n">
        <v>46326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46326</v>
      </c>
      <c r="F228" t="inlineStr">
        <is>
          <t>HALLANDS LÄN</t>
        </is>
      </c>
      <c r="G228" t="inlineStr">
        <is>
          <t>VARBERG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46326</v>
      </c>
      <c r="F229" t="inlineStr">
        <is>
          <t>HALLANDS LÄN</t>
        </is>
      </c>
      <c r="G229" t="inlineStr">
        <is>
          <t>VARBERG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46326</v>
      </c>
      <c r="F230" t="inlineStr">
        <is>
          <t>HALLANDS LÄN</t>
        </is>
      </c>
      <c r="G230" t="inlineStr">
        <is>
          <t>VARBERG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46326</v>
      </c>
      <c r="F231" t="inlineStr">
        <is>
          <t>HALLANDS LÄN</t>
        </is>
      </c>
      <c r="G231" t="inlineStr">
        <is>
          <t>VARBERG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46326</v>
      </c>
      <c r="F232" t="inlineStr">
        <is>
          <t>HALLANDS LÄN</t>
        </is>
      </c>
      <c r="G232" t="inlineStr">
        <is>
          <t>VARBERG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45436</v>
      </c>
      <c r="E233" s="1" t="n">
        <v>46326</v>
      </c>
      <c r="F233" t="inlineStr">
        <is>
          <t>HALLANDS LÄN</t>
        </is>
      </c>
      <c r="G233" t="inlineStr">
        <is>
          <t>VARBERG</t>
        </is>
      </c>
      <c r="H233" t="inlineStr">
        <is>
          <t>Kyrkan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45328</v>
      </c>
      <c r="E234" s="1" t="n">
        <v>46326</v>
      </c>
      <c r="F234" t="inlineStr">
        <is>
          <t>HALLANDS LÄN</t>
        </is>
      </c>
      <c r="G234" t="inlineStr">
        <is>
          <t>VARBERG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46326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46326</v>
      </c>
      <c r="F236" t="inlineStr">
        <is>
          <t>HALLANDS LÄN</t>
        </is>
      </c>
      <c r="G236" t="inlineStr">
        <is>
          <t>VARBERG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46326</v>
      </c>
      <c r="F237" t="inlineStr">
        <is>
          <t>HALLANDS LÄN</t>
        </is>
      </c>
      <c r="G237" t="inlineStr">
        <is>
          <t>VARBERG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44615</v>
      </c>
      <c r="E238" s="1" t="n">
        <v>46326</v>
      </c>
      <c r="F238" t="inlineStr">
        <is>
          <t>HALLANDS LÄN</t>
        </is>
      </c>
      <c r="G238" t="inlineStr">
        <is>
          <t>VARBERG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46326</v>
      </c>
      <c r="F239" t="inlineStr">
        <is>
          <t>HALLANDS LÄN</t>
        </is>
      </c>
      <c r="G239" t="inlineStr">
        <is>
          <t>VARBERG</t>
        </is>
      </c>
      <c r="H239" t="inlineStr">
        <is>
          <t>Kyrkan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46326</v>
      </c>
      <c r="F240" t="inlineStr">
        <is>
          <t>HALLANDS LÄN</t>
        </is>
      </c>
      <c r="G240" t="inlineStr">
        <is>
          <t>VARBERG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46326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46326</v>
      </c>
      <c r="F242" t="inlineStr">
        <is>
          <t>HALLANDS LÄN</t>
        </is>
      </c>
      <c r="G242" t="inlineStr">
        <is>
          <t>VARBERG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46326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46326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46326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64488-2021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44511</v>
      </c>
      <c r="E246" s="1" t="n">
        <v>46326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46326</v>
      </c>
      <c r="F247" t="inlineStr">
        <is>
          <t>HALLANDS LÄN</t>
        </is>
      </c>
      <c r="G247" t="inlineStr">
        <is>
          <t>VARBERG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46326</v>
      </c>
      <c r="F248" t="inlineStr">
        <is>
          <t>HALLANDS LÄN</t>
        </is>
      </c>
      <c r="G248" t="inlineStr">
        <is>
          <t>VARBERG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46326</v>
      </c>
      <c r="F249" t="inlineStr">
        <is>
          <t>HALLANDS LÄN</t>
        </is>
      </c>
      <c r="G249" t="inlineStr">
        <is>
          <t>VARBERG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45400</v>
      </c>
      <c r="E250" s="1" t="n">
        <v>46326</v>
      </c>
      <c r="F250" t="inlineStr">
        <is>
          <t>HALLANDS LÄN</t>
        </is>
      </c>
      <c r="G250" t="inlineStr">
        <is>
          <t>VARBERG</t>
        </is>
      </c>
      <c r="H250" t="inlineStr">
        <is>
          <t>Kyrkan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45224</v>
      </c>
      <c r="E251" s="1" t="n">
        <v>46326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46008</v>
      </c>
      <c r="E252" s="1" t="n">
        <v>46326</v>
      </c>
      <c r="F252" t="inlineStr">
        <is>
          <t>HALLANDS LÄN</t>
        </is>
      </c>
      <c r="G252" t="inlineStr">
        <is>
          <t>VARBERG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46326</v>
      </c>
      <c r="F253" t="inlineStr">
        <is>
          <t>HALLANDS LÄN</t>
        </is>
      </c>
      <c r="G253" t="inlineStr">
        <is>
          <t>VARBERG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45300</v>
      </c>
      <c r="E254" s="1" t="n">
        <v>46326</v>
      </c>
      <c r="F254" t="inlineStr">
        <is>
          <t>HALLANDS LÄN</t>
        </is>
      </c>
      <c r="G254" t="inlineStr">
        <is>
          <t>VARBERG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32473-2024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45513</v>
      </c>
      <c r="E255" s="1" t="n">
        <v>46326</v>
      </c>
      <c r="F255" t="inlineStr">
        <is>
          <t>HALLANDS LÄN</t>
        </is>
      </c>
      <c r="G255" t="inlineStr">
        <is>
          <t>VARBERG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46326</v>
      </c>
      <c r="F256" t="inlineStr">
        <is>
          <t>HALLANDS LÄN</t>
        </is>
      </c>
      <c r="G256" t="inlineStr">
        <is>
          <t>VARBERG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44659</v>
      </c>
      <c r="E257" s="1" t="n">
        <v>46326</v>
      </c>
      <c r="F257" t="inlineStr">
        <is>
          <t>HALLANDS LÄN</t>
        </is>
      </c>
      <c r="G257" t="inlineStr">
        <is>
          <t>VARBERG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61075-2023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45261</v>
      </c>
      <c r="E258" s="1" t="n">
        <v>46326</v>
      </c>
      <c r="F258" t="inlineStr">
        <is>
          <t>HALLANDS LÄN</t>
        </is>
      </c>
      <c r="G258" t="inlineStr">
        <is>
          <t>VARBERG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9819-2022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44620</v>
      </c>
      <c r="E259" s="1" t="n">
        <v>46326</v>
      </c>
      <c r="F259" t="inlineStr">
        <is>
          <t>HALLANDS LÄN</t>
        </is>
      </c>
      <c r="G259" t="inlineStr">
        <is>
          <t>VARBERG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44595</v>
      </c>
      <c r="E260" s="1" t="n">
        <v>46326</v>
      </c>
      <c r="F260" t="inlineStr">
        <is>
          <t>HALLANDS LÄN</t>
        </is>
      </c>
      <c r="G260" t="inlineStr">
        <is>
          <t>VARBERG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46326</v>
      </c>
      <c r="F261" t="inlineStr">
        <is>
          <t>HALLANDS LÄN</t>
        </is>
      </c>
      <c r="G261" t="inlineStr">
        <is>
          <t>VARBERG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46326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46326</v>
      </c>
      <c r="F263" t="inlineStr">
        <is>
          <t>HALLANDS LÄN</t>
        </is>
      </c>
      <c r="G263" t="inlineStr">
        <is>
          <t>VARBERG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46326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46326</v>
      </c>
      <c r="F265" t="inlineStr">
        <is>
          <t>HALLANDS LÄN</t>
        </is>
      </c>
      <c r="G265" t="inlineStr">
        <is>
          <t>VARBERG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46326</v>
      </c>
      <c r="F266" t="inlineStr">
        <is>
          <t>HALLANDS LÄN</t>
        </is>
      </c>
      <c r="G266" t="inlineStr">
        <is>
          <t>VARBERG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46326</v>
      </c>
      <c r="F267" t="inlineStr">
        <is>
          <t>HALLANDS LÄN</t>
        </is>
      </c>
      <c r="G267" t="inlineStr">
        <is>
          <t>VARBERG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46326</v>
      </c>
      <c r="F268" t="inlineStr">
        <is>
          <t>HALLANDS LÄN</t>
        </is>
      </c>
      <c r="G268" t="inlineStr">
        <is>
          <t>VARBERG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44967</v>
      </c>
      <c r="E269" s="1" t="n">
        <v>46326</v>
      </c>
      <c r="F269" t="inlineStr">
        <is>
          <t>HALLANDS LÄN</t>
        </is>
      </c>
      <c r="G269" t="inlineStr">
        <is>
          <t>VARBERG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46326</v>
      </c>
      <c r="F270" t="inlineStr">
        <is>
          <t>HALLANDS LÄN</t>
        </is>
      </c>
      <c r="G270" t="inlineStr">
        <is>
          <t>VARBERG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46326</v>
      </c>
      <c r="F271" t="inlineStr">
        <is>
          <t>HALLANDS LÄN</t>
        </is>
      </c>
      <c r="G271" t="inlineStr">
        <is>
          <t>VARBERG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44641</v>
      </c>
      <c r="E272" s="1" t="n">
        <v>46326</v>
      </c>
      <c r="F272" t="inlineStr">
        <is>
          <t>HALLANDS LÄN</t>
        </is>
      </c>
      <c r="G272" t="inlineStr">
        <is>
          <t>VARBERG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46326</v>
      </c>
      <c r="F273" t="inlineStr">
        <is>
          <t>HALLANDS LÄN</t>
        </is>
      </c>
      <c r="G273" t="inlineStr">
        <is>
          <t>VARBERG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46326</v>
      </c>
      <c r="F274" t="inlineStr">
        <is>
          <t>HALLANDS LÄN</t>
        </is>
      </c>
      <c r="G274" t="inlineStr">
        <is>
          <t>VARBERG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46326</v>
      </c>
      <c r="F275" t="inlineStr">
        <is>
          <t>HALLANDS LÄN</t>
        </is>
      </c>
      <c r="G275" t="inlineStr">
        <is>
          <t>VARBERG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46326</v>
      </c>
      <c r="F276" t="inlineStr">
        <is>
          <t>HALLANDS LÄN</t>
        </is>
      </c>
      <c r="G276" t="inlineStr">
        <is>
          <t>VARBERG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46326</v>
      </c>
      <c r="F277" t="inlineStr">
        <is>
          <t>HALLANDS LÄN</t>
        </is>
      </c>
      <c r="G277" t="inlineStr">
        <is>
          <t>VARBERG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46326</v>
      </c>
      <c r="F278" t="inlineStr">
        <is>
          <t>HALLANDS LÄN</t>
        </is>
      </c>
      <c r="G278" t="inlineStr">
        <is>
          <t>VARBERG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44811</v>
      </c>
      <c r="E279" s="1" t="n">
        <v>46326</v>
      </c>
      <c r="F279" t="inlineStr">
        <is>
          <t>HALLANDS LÄN</t>
        </is>
      </c>
      <c r="G279" t="inlineStr">
        <is>
          <t>VARBERG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45734</v>
      </c>
      <c r="E280" s="1" t="n">
        <v>46326</v>
      </c>
      <c r="F280" t="inlineStr">
        <is>
          <t>HALLANDS LÄN</t>
        </is>
      </c>
      <c r="G280" t="inlineStr">
        <is>
          <t>VARBERG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45717</v>
      </c>
      <c r="E281" s="1" t="n">
        <v>46326</v>
      </c>
      <c r="F281" t="inlineStr">
        <is>
          <t>HALLANDS LÄN</t>
        </is>
      </c>
      <c r="G281" t="inlineStr">
        <is>
          <t>VARBERG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46326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45302</v>
      </c>
      <c r="E283" s="1" t="n">
        <v>46326</v>
      </c>
      <c r="F283" t="inlineStr">
        <is>
          <t>HALLANDS LÄN</t>
        </is>
      </c>
      <c r="G283" t="inlineStr">
        <is>
          <t>VARBERG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45705</v>
      </c>
      <c r="E284" s="1" t="n">
        <v>46326</v>
      </c>
      <c r="F284" t="inlineStr">
        <is>
          <t>HALLANDS LÄN</t>
        </is>
      </c>
      <c r="G284" t="inlineStr">
        <is>
          <t>VARBERG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44797</v>
      </c>
      <c r="E285" s="1" t="n">
        <v>46326</v>
      </c>
      <c r="F285" t="inlineStr">
        <is>
          <t>HALLANDS LÄN</t>
        </is>
      </c>
      <c r="G285" t="inlineStr">
        <is>
          <t>VARBERG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19130-2026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46132</v>
      </c>
      <c r="E286" s="1" t="n">
        <v>46326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45487</v>
      </c>
      <c r="E287" s="1" t="n">
        <v>46326</v>
      </c>
      <c r="F287" t="inlineStr">
        <is>
          <t>HALLANDS LÄN</t>
        </is>
      </c>
      <c r="G287" t="inlineStr">
        <is>
          <t>VARBERG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44910</v>
      </c>
      <c r="E288" s="1" t="n">
        <v>46326</v>
      </c>
      <c r="F288" t="inlineStr">
        <is>
          <t>HALLANDS LÄN</t>
        </is>
      </c>
      <c r="G288" t="inlineStr">
        <is>
          <t>VARBERG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44644</v>
      </c>
      <c r="E289" s="1" t="n">
        <v>46326</v>
      </c>
      <c r="F289" t="inlineStr">
        <is>
          <t>HALLANDS LÄN</t>
        </is>
      </c>
      <c r="G289" t="inlineStr">
        <is>
          <t>VARBERG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13799-2022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44649</v>
      </c>
      <c r="E290" s="1" t="n">
        <v>46326</v>
      </c>
      <c r="F290" t="inlineStr">
        <is>
          <t>HALLANDS LÄN</t>
        </is>
      </c>
      <c r="G290" t="inlineStr">
        <is>
          <t>VARBERG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46326</v>
      </c>
      <c r="F291" t="inlineStr">
        <is>
          <t>HALLANDS LÄN</t>
        </is>
      </c>
      <c r="G291" t="inlineStr">
        <is>
          <t>VARBERG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46326</v>
      </c>
      <c r="F292" t="inlineStr">
        <is>
          <t>HALLANDS LÄN</t>
        </is>
      </c>
      <c r="G292" t="inlineStr">
        <is>
          <t>VARBERG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46326</v>
      </c>
      <c r="F293" t="inlineStr">
        <is>
          <t>HALLANDS LÄN</t>
        </is>
      </c>
      <c r="G293" t="inlineStr">
        <is>
          <t>VARBERG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46326</v>
      </c>
      <c r="F294" t="inlineStr">
        <is>
          <t>HALLANDS LÄN</t>
        </is>
      </c>
      <c r="G294" t="inlineStr">
        <is>
          <t>VARBERG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44628</v>
      </c>
      <c r="E295" s="1" t="n">
        <v>46326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46326</v>
      </c>
      <c r="F296" t="inlineStr">
        <is>
          <t>HALLANDS LÄN</t>
        </is>
      </c>
      <c r="G296" t="inlineStr">
        <is>
          <t>VARBERG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46326</v>
      </c>
      <c r="F297" t="inlineStr">
        <is>
          <t>HALLANDS LÄN</t>
        </is>
      </c>
      <c r="G297" t="inlineStr">
        <is>
          <t>VARBERG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45722</v>
      </c>
      <c r="E298" s="1" t="n">
        <v>46326</v>
      </c>
      <c r="F298" t="inlineStr">
        <is>
          <t>HALLANDS LÄN</t>
        </is>
      </c>
      <c r="G298" t="inlineStr">
        <is>
          <t>VARBERG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44981</v>
      </c>
      <c r="E299" s="1" t="n">
        <v>46326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46326</v>
      </c>
      <c r="F300" t="inlineStr">
        <is>
          <t>HALLANDS LÄN</t>
        </is>
      </c>
      <c r="G300" t="inlineStr">
        <is>
          <t>VARBERG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45477</v>
      </c>
      <c r="E301" s="1" t="n">
        <v>46326</v>
      </c>
      <c r="F301" t="inlineStr">
        <is>
          <t>HALLANDS LÄN</t>
        </is>
      </c>
      <c r="G301" t="inlineStr">
        <is>
          <t>VARBERG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46326</v>
      </c>
      <c r="F302" t="inlineStr">
        <is>
          <t>HALLANDS LÄN</t>
        </is>
      </c>
      <c r="G302" t="inlineStr">
        <is>
          <t>VARBERG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44652</v>
      </c>
      <c r="E303" s="1" t="n">
        <v>46326</v>
      </c>
      <c r="F303" t="inlineStr">
        <is>
          <t>HALLANDS LÄN</t>
        </is>
      </c>
      <c r="G303" t="inlineStr">
        <is>
          <t>VARBERG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44657</v>
      </c>
      <c r="E304" s="1" t="n">
        <v>46326</v>
      </c>
      <c r="F304" t="inlineStr">
        <is>
          <t>HALLANDS LÄN</t>
        </is>
      </c>
      <c r="G304" t="inlineStr">
        <is>
          <t>VARBERG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23052-2023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46326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46326</v>
      </c>
      <c r="F306" t="inlineStr">
        <is>
          <t>HALLANDS LÄN</t>
        </is>
      </c>
      <c r="G306" t="inlineStr">
        <is>
          <t>VARBERG</t>
        </is>
      </c>
      <c r="H306" t="inlineStr">
        <is>
          <t>Kyrkan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46326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46326</v>
      </c>
      <c r="F308" t="inlineStr">
        <is>
          <t>HALLANDS LÄN</t>
        </is>
      </c>
      <c r="G308" t="inlineStr">
        <is>
          <t>VARBERG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46326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45852</v>
      </c>
      <c r="E310" s="1" t="n">
        <v>46326</v>
      </c>
      <c r="F310" t="inlineStr">
        <is>
          <t>HALLANDS LÄN</t>
        </is>
      </c>
      <c r="G310" t="inlineStr">
        <is>
          <t>VARBERG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46326</v>
      </c>
      <c r="F311" t="inlineStr">
        <is>
          <t>HALLANDS LÄN</t>
        </is>
      </c>
      <c r="G311" t="inlineStr">
        <is>
          <t>VARBERG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45785</v>
      </c>
      <c r="E312" s="1" t="n">
        <v>46326</v>
      </c>
      <c r="F312" t="inlineStr">
        <is>
          <t>HALLANDS LÄN</t>
        </is>
      </c>
      <c r="G312" t="inlineStr">
        <is>
          <t>VARBERG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70040-2021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44533</v>
      </c>
      <c r="E313" s="1" t="n">
        <v>46326</v>
      </c>
      <c r="F313" t="inlineStr">
        <is>
          <t>HALLANDS LÄN</t>
        </is>
      </c>
      <c r="G313" t="inlineStr">
        <is>
          <t>VARBERG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46326</v>
      </c>
      <c r="F314" t="inlineStr">
        <is>
          <t>HALLANDS LÄN</t>
        </is>
      </c>
      <c r="G314" t="inlineStr">
        <is>
          <t>VARBERG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44659</v>
      </c>
      <c r="E315" s="1" t="n">
        <v>46326</v>
      </c>
      <c r="F315" t="inlineStr">
        <is>
          <t>HALLANDS LÄN</t>
        </is>
      </c>
      <c r="G315" t="inlineStr">
        <is>
          <t>VARBERG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64767-2023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45281</v>
      </c>
      <c r="E316" s="1" t="n">
        <v>46326</v>
      </c>
      <c r="F316" t="inlineStr">
        <is>
          <t>HALLANDS LÄN</t>
        </is>
      </c>
      <c r="G316" t="inlineStr">
        <is>
          <t>VARBERG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46326</v>
      </c>
      <c r="F317" t="inlineStr">
        <is>
          <t>HALLANDS LÄN</t>
        </is>
      </c>
      <c r="G317" t="inlineStr">
        <is>
          <t>VARBERG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46771-2022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44851</v>
      </c>
      <c r="E318" s="1" t="n">
        <v>46326</v>
      </c>
      <c r="F318" t="inlineStr">
        <is>
          <t>HALLANDS LÄN</t>
        </is>
      </c>
      <c r="G318" t="inlineStr">
        <is>
          <t>VARBERG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46326</v>
      </c>
      <c r="F319" t="inlineStr">
        <is>
          <t>HALLANDS LÄN</t>
        </is>
      </c>
      <c r="G319" t="inlineStr">
        <is>
          <t>VARBERG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45792</v>
      </c>
      <c r="E320" s="1" t="n">
        <v>46326</v>
      </c>
      <c r="F320" t="inlineStr">
        <is>
          <t>HALLANDS LÄN</t>
        </is>
      </c>
      <c r="G320" t="inlineStr">
        <is>
          <t>VARBERG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45349</v>
      </c>
      <c r="E321" s="1" t="n">
        <v>46326</v>
      </c>
      <c r="F321" t="inlineStr">
        <is>
          <t>HALLANDS LÄN</t>
        </is>
      </c>
      <c r="G321" t="inlineStr">
        <is>
          <t>VARBERG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46326</v>
      </c>
      <c r="F322" t="inlineStr">
        <is>
          <t>HALLANDS LÄN</t>
        </is>
      </c>
      <c r="G322" t="inlineStr">
        <is>
          <t>VARBERG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46326</v>
      </c>
      <c r="F323" t="inlineStr">
        <is>
          <t>HALLANDS LÄN</t>
        </is>
      </c>
      <c r="G323" t="inlineStr">
        <is>
          <t>VARBERG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46326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46326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46326</v>
      </c>
      <c r="F326" t="inlineStr">
        <is>
          <t>HALLANDS LÄN</t>
        </is>
      </c>
      <c r="G326" t="inlineStr">
        <is>
          <t>VARBERG</t>
        </is>
      </c>
      <c r="H326" t="inlineStr">
        <is>
          <t>Kyrkan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45369</v>
      </c>
      <c r="E327" s="1" t="n">
        <v>46326</v>
      </c>
      <c r="F327" t="inlineStr">
        <is>
          <t>HALLANDS LÄN</t>
        </is>
      </c>
      <c r="G327" t="inlineStr">
        <is>
          <t>VARBERG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46326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45302</v>
      </c>
      <c r="E329" s="1" t="n">
        <v>46326</v>
      </c>
      <c r="F329" t="inlineStr">
        <is>
          <t>HALLANDS LÄN</t>
        </is>
      </c>
      <c r="G329" t="inlineStr">
        <is>
          <t>VARBERG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46326</v>
      </c>
      <c r="F330" t="inlineStr">
        <is>
          <t>HALLANDS LÄN</t>
        </is>
      </c>
      <c r="G330" t="inlineStr">
        <is>
          <t>VARBERG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46326</v>
      </c>
      <c r="F331" t="inlineStr">
        <is>
          <t>HALLANDS LÄN</t>
        </is>
      </c>
      <c r="G331" t="inlineStr">
        <is>
          <t>VARBERG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46326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46326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46326</v>
      </c>
      <c r="F334" t="inlineStr">
        <is>
          <t>HALLANDS LÄN</t>
        </is>
      </c>
      <c r="G334" t="inlineStr">
        <is>
          <t>VARBERG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46161</v>
      </c>
      <c r="E335" s="1" t="n">
        <v>46326</v>
      </c>
      <c r="F335" t="inlineStr">
        <is>
          <t>HALLANDS LÄN</t>
        </is>
      </c>
      <c r="G335" t="inlineStr">
        <is>
          <t>VARBERG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46326</v>
      </c>
      <c r="F336" t="inlineStr">
        <is>
          <t>HALLANDS LÄN</t>
        </is>
      </c>
      <c r="G336" t="inlineStr">
        <is>
          <t>VARBERG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46326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45722</v>
      </c>
      <c r="E338" s="1" t="n">
        <v>46326</v>
      </c>
      <c r="F338" t="inlineStr">
        <is>
          <t>HALLANDS LÄN</t>
        </is>
      </c>
      <c r="G338" t="inlineStr">
        <is>
          <t>VARBERG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45140</v>
      </c>
      <c r="E339" s="1" t="n">
        <v>46326</v>
      </c>
      <c r="F339" t="inlineStr">
        <is>
          <t>HALLANDS LÄN</t>
        </is>
      </c>
      <c r="G339" t="inlineStr">
        <is>
          <t>VARBERG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46326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46326</v>
      </c>
      <c r="F341" t="inlineStr">
        <is>
          <t>HALLANDS LÄN</t>
        </is>
      </c>
      <c r="G341" t="inlineStr">
        <is>
          <t>VARBERG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46326</v>
      </c>
      <c r="F342" t="inlineStr">
        <is>
          <t>HALLANDS LÄN</t>
        </is>
      </c>
      <c r="G342" t="inlineStr">
        <is>
          <t>VARBERG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46326</v>
      </c>
      <c r="F343" t="inlineStr">
        <is>
          <t>HALLANDS LÄN</t>
        </is>
      </c>
      <c r="G343" t="inlineStr">
        <is>
          <t>VARBERG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45434</v>
      </c>
      <c r="E344" s="1" t="n">
        <v>46326</v>
      </c>
      <c r="F344" t="inlineStr">
        <is>
          <t>HALLANDS LÄN</t>
        </is>
      </c>
      <c r="G344" t="inlineStr">
        <is>
          <t>VARBERG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45196</v>
      </c>
      <c r="E345" s="1" t="n">
        <v>46326</v>
      </c>
      <c r="F345" t="inlineStr">
        <is>
          <t>HALLANDS LÄN</t>
        </is>
      </c>
      <c r="G345" t="inlineStr">
        <is>
          <t>VARBERG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46326</v>
      </c>
      <c r="F346" t="inlineStr">
        <is>
          <t>HALLANDS LÄN</t>
        </is>
      </c>
      <c r="G346" t="inlineStr">
        <is>
          <t>VARBERG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46326</v>
      </c>
      <c r="F347" t="inlineStr">
        <is>
          <t>HALLANDS LÄN</t>
        </is>
      </c>
      <c r="G347" t="inlineStr">
        <is>
          <t>VARBERG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46326</v>
      </c>
      <c r="F348" t="inlineStr">
        <is>
          <t>HALLANDS LÄN</t>
        </is>
      </c>
      <c r="G348" t="inlineStr">
        <is>
          <t>VARBERG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45580</v>
      </c>
      <c r="E349" s="1" t="n">
        <v>46326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46326</v>
      </c>
      <c r="F350" t="inlineStr">
        <is>
          <t>HALLANDS LÄN</t>
        </is>
      </c>
      <c r="G350" t="inlineStr">
        <is>
          <t>VARBERG</t>
        </is>
      </c>
      <c r="H350" t="inlineStr">
        <is>
          <t>Övriga statliga verk och myndigheter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46326</v>
      </c>
      <c r="F351" t="inlineStr">
        <is>
          <t>HALLANDS LÄN</t>
        </is>
      </c>
      <c r="G351" t="inlineStr">
        <is>
          <t>VARBERG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45397</v>
      </c>
      <c r="E352" s="1" t="n">
        <v>46326</v>
      </c>
      <c r="F352" t="inlineStr">
        <is>
          <t>HALLANDS LÄN</t>
        </is>
      </c>
      <c r="G352" t="inlineStr">
        <is>
          <t>VARBERG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45772</v>
      </c>
      <c r="E353" s="1" t="n">
        <v>46326</v>
      </c>
      <c r="F353" t="inlineStr">
        <is>
          <t>HALLANDS LÄN</t>
        </is>
      </c>
      <c r="G353" t="inlineStr">
        <is>
          <t>VARBERG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45700</v>
      </c>
      <c r="E354" s="1" t="n">
        <v>46326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46326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46326</v>
      </c>
      <c r="F356" t="inlineStr">
        <is>
          <t>HALLANDS LÄN</t>
        </is>
      </c>
      <c r="G356" t="inlineStr">
        <is>
          <t>VARBERG</t>
        </is>
      </c>
      <c r="I356" t="n">
        <v>9.5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46326</v>
      </c>
      <c r="F357" t="inlineStr">
        <is>
          <t>HALLANDS LÄN</t>
        </is>
      </c>
      <c r="G357" t="inlineStr">
        <is>
          <t>VARBERG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44770</v>
      </c>
      <c r="E358" s="1" t="n">
        <v>46326</v>
      </c>
      <c r="F358" t="inlineStr">
        <is>
          <t>HALLANDS LÄN</t>
        </is>
      </c>
      <c r="G358" t="inlineStr">
        <is>
          <t>VARBERG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46326</v>
      </c>
      <c r="F359" t="inlineStr">
        <is>
          <t>HALLANDS LÄN</t>
        </is>
      </c>
      <c r="G359" t="inlineStr">
        <is>
          <t>VARBERG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46326</v>
      </c>
      <c r="F360" t="inlineStr">
        <is>
          <t>HALLANDS LÄN</t>
        </is>
      </c>
      <c r="G360" t="inlineStr">
        <is>
          <t>VARBERG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46326</v>
      </c>
      <c r="F361" t="inlineStr">
        <is>
          <t>HALLANDS LÄN</t>
        </is>
      </c>
      <c r="G361" t="inlineStr">
        <is>
          <t>VARBERG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18343-2024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46326</v>
      </c>
      <c r="F362" t="inlineStr">
        <is>
          <t>HALLANDS LÄN</t>
        </is>
      </c>
      <c r="G362" t="inlineStr">
        <is>
          <t>VARBERG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44890</v>
      </c>
      <c r="E363" s="1" t="n">
        <v>46326</v>
      </c>
      <c r="F363" t="inlineStr">
        <is>
          <t>HALLANDS LÄN</t>
        </is>
      </c>
      <c r="G363" t="inlineStr">
        <is>
          <t>VARBERG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46326</v>
      </c>
      <c r="F364" t="inlineStr">
        <is>
          <t>HALLANDS LÄN</t>
        </is>
      </c>
      <c r="G364" t="inlineStr">
        <is>
          <t>VARBERG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45140</v>
      </c>
      <c r="E365" s="1" t="n">
        <v>46326</v>
      </c>
      <c r="F365" t="inlineStr">
        <is>
          <t>HALLANDS LÄN</t>
        </is>
      </c>
      <c r="G365" t="inlineStr">
        <is>
          <t>VARBERG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46326</v>
      </c>
      <c r="F366" t="inlineStr">
        <is>
          <t>HALLANDS LÄN</t>
        </is>
      </c>
      <c r="G366" t="inlineStr">
        <is>
          <t>VARBERG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45014</v>
      </c>
      <c r="E367" s="1" t="n">
        <v>46326</v>
      </c>
      <c r="F367" t="inlineStr">
        <is>
          <t>HALLANDS LÄN</t>
        </is>
      </c>
      <c r="G367" t="inlineStr">
        <is>
          <t>VARBERG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46326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45344</v>
      </c>
      <c r="E369" s="1" t="n">
        <v>46326</v>
      </c>
      <c r="F369" t="inlineStr">
        <is>
          <t>HALLANDS LÄN</t>
        </is>
      </c>
      <c r="G369" t="inlineStr">
        <is>
          <t>VARBERG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46326</v>
      </c>
      <c r="F370" t="inlineStr">
        <is>
          <t>HALLANDS LÄN</t>
        </is>
      </c>
      <c r="G370" t="inlineStr">
        <is>
          <t>VARBERG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46326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46326</v>
      </c>
      <c r="F372" t="inlineStr">
        <is>
          <t>HALLANDS LÄN</t>
        </is>
      </c>
      <c r="G372" t="inlineStr">
        <is>
          <t>VARBERG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45770</v>
      </c>
      <c r="E373" s="1" t="n">
        <v>46326</v>
      </c>
      <c r="F373" t="inlineStr">
        <is>
          <t>HALLANDS LÄN</t>
        </is>
      </c>
      <c r="G373" t="inlineStr">
        <is>
          <t>VARBERG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45708</v>
      </c>
      <c r="E374" s="1" t="n">
        <v>46326</v>
      </c>
      <c r="F374" t="inlineStr">
        <is>
          <t>HALLANDS LÄN</t>
        </is>
      </c>
      <c r="G374" t="inlineStr">
        <is>
          <t>VARBERG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46326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46326</v>
      </c>
      <c r="F376" t="inlineStr">
        <is>
          <t>HALLANDS LÄN</t>
        </is>
      </c>
      <c r="G376" t="inlineStr">
        <is>
          <t>VARBERG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45457</v>
      </c>
      <c r="E377" s="1" t="n">
        <v>46326</v>
      </c>
      <c r="F377" t="inlineStr">
        <is>
          <t>HALLANDS LÄN</t>
        </is>
      </c>
      <c r="G377" t="inlineStr">
        <is>
          <t>VARBERG</t>
        </is>
      </c>
      <c r="H377" t="inlineStr">
        <is>
          <t>Kyrkan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46326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46326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46326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46326</v>
      </c>
      <c r="F381" t="inlineStr">
        <is>
          <t>HALLANDS LÄN</t>
        </is>
      </c>
      <c r="G381" t="inlineStr">
        <is>
          <t>VARBERG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46326</v>
      </c>
      <c r="F382" t="inlineStr">
        <is>
          <t>HALLANDS LÄN</t>
        </is>
      </c>
      <c r="G382" t="inlineStr">
        <is>
          <t>VARBERG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46196</v>
      </c>
      <c r="E383" s="1" t="n">
        <v>46326</v>
      </c>
      <c r="F383" t="inlineStr">
        <is>
          <t>HALLANDS LÄN</t>
        </is>
      </c>
      <c r="G383" t="inlineStr">
        <is>
          <t>VARBERG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46326</v>
      </c>
      <c r="F384" t="inlineStr">
        <is>
          <t>HALLANDS LÄN</t>
        </is>
      </c>
      <c r="G384" t="inlineStr">
        <is>
          <t>VARBERG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46326</v>
      </c>
      <c r="F385" t="inlineStr">
        <is>
          <t>HALLANDS LÄN</t>
        </is>
      </c>
      <c r="G385" t="inlineStr">
        <is>
          <t>VARBERG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44722</v>
      </c>
      <c r="E386" s="1" t="n">
        <v>46326</v>
      </c>
      <c r="F386" t="inlineStr">
        <is>
          <t>HALLANDS LÄN</t>
        </is>
      </c>
      <c r="G386" t="inlineStr">
        <is>
          <t>VARBERG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46326</v>
      </c>
      <c r="F387" t="inlineStr">
        <is>
          <t>HALLANDS LÄN</t>
        </is>
      </c>
      <c r="G387" t="inlineStr">
        <is>
          <t>VARBERG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46326</v>
      </c>
      <c r="F388" t="inlineStr">
        <is>
          <t>HALLANDS LÄN</t>
        </is>
      </c>
      <c r="G388" t="inlineStr">
        <is>
          <t>VARBERG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46326</v>
      </c>
      <c r="F389" t="inlineStr">
        <is>
          <t>HALLANDS LÄN</t>
        </is>
      </c>
      <c r="G389" t="inlineStr">
        <is>
          <t>VARBERG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46326</v>
      </c>
      <c r="F390" t="inlineStr">
        <is>
          <t>HALLANDS LÄN</t>
        </is>
      </c>
      <c r="G390" t="inlineStr">
        <is>
          <t>VARBERG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45272</v>
      </c>
      <c r="E391" s="1" t="n">
        <v>46326</v>
      </c>
      <c r="F391" t="inlineStr">
        <is>
          <t>HALLANDS LÄN</t>
        </is>
      </c>
      <c r="G391" t="inlineStr">
        <is>
          <t>VARBERG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46326</v>
      </c>
      <c r="F392" t="inlineStr">
        <is>
          <t>HALLANDS LÄN</t>
        </is>
      </c>
      <c r="G392" t="inlineStr">
        <is>
          <t>VARBERG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46326</v>
      </c>
      <c r="F393" t="inlineStr">
        <is>
          <t>HALLANDS LÄN</t>
        </is>
      </c>
      <c r="G393" t="inlineStr">
        <is>
          <t>VARBERG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45743</v>
      </c>
      <c r="E394" s="1" t="n">
        <v>46326</v>
      </c>
      <c r="F394" t="inlineStr">
        <is>
          <t>HALLANDS LÄN</t>
        </is>
      </c>
      <c r="G394" t="inlineStr">
        <is>
          <t>VARBERG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15035-2025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45743</v>
      </c>
      <c r="E395" s="1" t="n">
        <v>46326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46326</v>
      </c>
      <c r="F396" t="inlineStr">
        <is>
          <t>HALLANDS LÄN</t>
        </is>
      </c>
      <c r="G396" t="inlineStr">
        <is>
          <t>VARBERG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45058</v>
      </c>
      <c r="E397" s="1" t="n">
        <v>46326</v>
      </c>
      <c r="F397" t="inlineStr">
        <is>
          <t>HALLANDS LÄN</t>
        </is>
      </c>
      <c r="G397" t="inlineStr">
        <is>
          <t>VARBERG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44740-2023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45184</v>
      </c>
      <c r="E398" s="1" t="n">
        <v>46326</v>
      </c>
      <c r="F398" t="inlineStr">
        <is>
          <t>HALLANDS LÄN</t>
        </is>
      </c>
      <c r="G398" t="inlineStr">
        <is>
          <t>VARBERG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46326</v>
      </c>
      <c r="F399" t="inlineStr">
        <is>
          <t>HALLANDS LÄN</t>
        </is>
      </c>
      <c r="G399" t="inlineStr">
        <is>
          <t>VARBERG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14536-2023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46326</v>
      </c>
      <c r="F400" t="inlineStr">
        <is>
          <t>HALLANDS LÄN</t>
        </is>
      </c>
      <c r="G400" t="inlineStr">
        <is>
          <t>VARBERG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46326</v>
      </c>
      <c r="F401" t="inlineStr">
        <is>
          <t>HALLANDS LÄN</t>
        </is>
      </c>
      <c r="G401" t="inlineStr">
        <is>
          <t>VARBERG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46326</v>
      </c>
      <c r="F402" t="inlineStr">
        <is>
          <t>HALLANDS LÄN</t>
        </is>
      </c>
      <c r="G402" t="inlineStr">
        <is>
          <t>VARBERG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46326</v>
      </c>
      <c r="F403" t="inlineStr">
        <is>
          <t>HALLANDS LÄN</t>
        </is>
      </c>
      <c r="G403" t="inlineStr">
        <is>
          <t>VARBERG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45177</v>
      </c>
      <c r="E404" s="1" t="n">
        <v>46326</v>
      </c>
      <c r="F404" t="inlineStr">
        <is>
          <t>HALLANDS LÄN</t>
        </is>
      </c>
      <c r="G404" t="inlineStr">
        <is>
          <t>VARBERG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44607</v>
      </c>
      <c r="E405" s="1" t="n">
        <v>46326</v>
      </c>
      <c r="F405" t="inlineStr">
        <is>
          <t>HALLANDS LÄN</t>
        </is>
      </c>
      <c r="G405" t="inlineStr">
        <is>
          <t>VARBERG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46326</v>
      </c>
      <c r="F406" t="inlineStr">
        <is>
          <t>HALLANDS LÄN</t>
        </is>
      </c>
      <c r="G406" t="inlineStr">
        <is>
          <t>VARBERG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9614-2024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45361</v>
      </c>
      <c r="E407" s="1" t="n">
        <v>46326</v>
      </c>
      <c r="F407" t="inlineStr">
        <is>
          <t>HALLANDS LÄN</t>
        </is>
      </c>
      <c r="G407" t="inlineStr">
        <is>
          <t>VARBERG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51932-2024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45607</v>
      </c>
      <c r="E408" s="1" t="n">
        <v>46326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46326</v>
      </c>
      <c r="F409" t="inlineStr">
        <is>
          <t>HALLANDS LÄN</t>
        </is>
      </c>
      <c r="G409" t="inlineStr">
        <is>
          <t>VARBERG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46326</v>
      </c>
      <c r="F410" t="inlineStr">
        <is>
          <t>HALLANDS LÄN</t>
        </is>
      </c>
      <c r="G410" t="inlineStr">
        <is>
          <t>VARBERG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46326</v>
      </c>
      <c r="F411" t="inlineStr">
        <is>
          <t>HALLANDS LÄN</t>
        </is>
      </c>
      <c r="G411" t="inlineStr">
        <is>
          <t>VARBERG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27286-2023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46326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46326</v>
      </c>
      <c r="F413" t="inlineStr">
        <is>
          <t>HALLANDS LÄN</t>
        </is>
      </c>
      <c r="G413" t="inlineStr">
        <is>
          <t>VARBERG</t>
        </is>
      </c>
      <c r="H413" t="inlineStr">
        <is>
          <t>Övriga statliga verk och myndigheter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46326</v>
      </c>
      <c r="F414" t="inlineStr">
        <is>
          <t>HALLANDS LÄN</t>
        </is>
      </c>
      <c r="G414" t="inlineStr">
        <is>
          <t>VARBERG</t>
        </is>
      </c>
      <c r="H414" t="inlineStr">
        <is>
          <t>Övriga statliga verk och myndigheter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45086</v>
      </c>
      <c r="E415" s="1" t="n">
        <v>46326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32135-2026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46234</v>
      </c>
      <c r="E416" s="1" t="n">
        <v>46326</v>
      </c>
      <c r="F416" t="inlineStr">
        <is>
          <t>HALLANDS LÄN</t>
        </is>
      </c>
      <c r="G416" t="inlineStr">
        <is>
          <t>VARBERG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46326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32234-2026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46237</v>
      </c>
      <c r="E418" s="1" t="n">
        <v>46326</v>
      </c>
      <c r="F418" t="inlineStr">
        <is>
          <t>HALLANDS LÄN</t>
        </is>
      </c>
      <c r="G418" t="inlineStr">
        <is>
          <t>VARBERG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45637</v>
      </c>
      <c r="E419" s="1" t="n">
        <v>46326</v>
      </c>
      <c r="F419" t="inlineStr">
        <is>
          <t>HALLANDS LÄN</t>
        </is>
      </c>
      <c r="G419" t="inlineStr">
        <is>
          <t>VARBERG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45131</v>
      </c>
      <c r="E420" s="1" t="n">
        <v>46326</v>
      </c>
      <c r="F420" t="inlineStr">
        <is>
          <t>HALLANDS LÄN</t>
        </is>
      </c>
      <c r="G420" t="inlineStr">
        <is>
          <t>VARBERG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46326</v>
      </c>
      <c r="F421" t="inlineStr">
        <is>
          <t>HALLANDS LÄN</t>
        </is>
      </c>
      <c r="G421" t="inlineStr">
        <is>
          <t>VARBERG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46326</v>
      </c>
      <c r="F422" t="inlineStr">
        <is>
          <t>HALLANDS LÄN</t>
        </is>
      </c>
      <c r="G422" t="inlineStr">
        <is>
          <t>VARBERG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46286</v>
      </c>
      <c r="E423" s="1" t="n">
        <v>46326</v>
      </c>
      <c r="F423" t="inlineStr">
        <is>
          <t>HALLANDS LÄN</t>
        </is>
      </c>
      <c r="G423" t="inlineStr">
        <is>
          <t>VARBERG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46326</v>
      </c>
      <c r="F424" t="inlineStr">
        <is>
          <t>HALLANDS LÄN</t>
        </is>
      </c>
      <c r="G424" t="inlineStr">
        <is>
          <t>VARBERG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45819</v>
      </c>
      <c r="E425" s="1" t="n">
        <v>46326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46326</v>
      </c>
      <c r="F426" t="inlineStr">
        <is>
          <t>HALLANDS LÄN</t>
        </is>
      </c>
      <c r="G426" t="inlineStr">
        <is>
          <t>VARBERG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46288</v>
      </c>
      <c r="E427" s="1" t="n">
        <v>46326</v>
      </c>
      <c r="F427" t="inlineStr">
        <is>
          <t>HALLANDS LÄN</t>
        </is>
      </c>
      <c r="G427" t="inlineStr">
        <is>
          <t>VARBERG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46251</v>
      </c>
      <c r="E428" s="1" t="n">
        <v>46326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34051-2026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46251</v>
      </c>
      <c r="E429" s="1" t="n">
        <v>46326</v>
      </c>
      <c r="F429" t="inlineStr">
        <is>
          <t>HALLANDS LÄN</t>
        </is>
      </c>
      <c r="G429" t="inlineStr">
        <is>
          <t>VARBERG</t>
        </is>
      </c>
      <c r="H429" t="inlineStr">
        <is>
          <t>Övriga statliga verk och myndigheter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46326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45791</v>
      </c>
      <c r="E431" s="1" t="n">
        <v>46326</v>
      </c>
      <c r="F431" t="inlineStr">
        <is>
          <t>HALLANDS LÄN</t>
        </is>
      </c>
      <c r="G431" t="inlineStr">
        <is>
          <t>VARBERG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45791</v>
      </c>
      <c r="E432" s="1" t="n">
        <v>46326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46295</v>
      </c>
      <c r="E433" s="1" t="n">
        <v>46326</v>
      </c>
      <c r="F433" t="inlineStr">
        <is>
          <t>HALLANDS LÄN</t>
        </is>
      </c>
      <c r="G433" t="inlineStr">
        <is>
          <t>VARBERG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45378</v>
      </c>
      <c r="E434" s="1" t="n">
        <v>46326</v>
      </c>
      <c r="F434" t="inlineStr">
        <is>
          <t>HALLANDS LÄN</t>
        </is>
      </c>
      <c r="G434" t="inlineStr">
        <is>
          <t>VARBERG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45574</v>
      </c>
      <c r="E435" s="1" t="n">
        <v>46326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46326</v>
      </c>
      <c r="F436" t="inlineStr">
        <is>
          <t>HALLANDS LÄN</t>
        </is>
      </c>
      <c r="G436" t="inlineStr">
        <is>
          <t>VARBERG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46295</v>
      </c>
      <c r="E437" s="1" t="n">
        <v>46326</v>
      </c>
      <c r="F437" t="inlineStr">
        <is>
          <t>HALLANDS LÄN</t>
        </is>
      </c>
      <c r="G437" t="inlineStr">
        <is>
          <t>VARBERG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45336</v>
      </c>
      <c r="E438" s="1" t="n">
        <v>46326</v>
      </c>
      <c r="F438" t="inlineStr">
        <is>
          <t>HALLANDS LÄN</t>
        </is>
      </c>
      <c r="G438" t="inlineStr">
        <is>
          <t>VARBERG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46326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46326</v>
      </c>
      <c r="F440" t="inlineStr">
        <is>
          <t>HALLANDS LÄN</t>
        </is>
      </c>
      <c r="G440" t="inlineStr">
        <is>
          <t>VARBERG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46326</v>
      </c>
      <c r="F441" t="inlineStr">
        <is>
          <t>HALLANDS LÄN</t>
        </is>
      </c>
      <c r="G441" t="inlineStr">
        <is>
          <t>VARBERG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41469-2026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46301</v>
      </c>
      <c r="E442" s="1" t="n">
        <v>46326</v>
      </c>
      <c r="F442" t="inlineStr">
        <is>
          <t>HALLANDS LÄN</t>
        </is>
      </c>
      <c r="G442" t="inlineStr">
        <is>
          <t>VARBERG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46326</v>
      </c>
      <c r="F443" t="inlineStr">
        <is>
          <t>HALLANDS LÄN</t>
        </is>
      </c>
      <c r="G443" t="inlineStr">
        <is>
          <t>VARBERG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46300</v>
      </c>
      <c r="E444" s="1" t="n">
        <v>46326</v>
      </c>
      <c r="F444" t="inlineStr">
        <is>
          <t>HALLANDS LÄN</t>
        </is>
      </c>
      <c r="G444" t="inlineStr">
        <is>
          <t>VARBERG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46299</v>
      </c>
      <c r="E445" s="1" t="n">
        <v>46326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41880-2026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46303</v>
      </c>
      <c r="E446" s="1" t="n">
        <v>46326</v>
      </c>
      <c r="F446" t="inlineStr">
        <is>
          <t>HALLANDS LÄN</t>
        </is>
      </c>
      <c r="G446" t="inlineStr">
        <is>
          <t>VARBERG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46307</v>
      </c>
      <c r="E447" s="1" t="n">
        <v>46326</v>
      </c>
      <c r="F447" t="inlineStr">
        <is>
          <t>HALLANDS LÄN</t>
        </is>
      </c>
      <c r="G447" t="inlineStr">
        <is>
          <t>VARBERG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46326</v>
      </c>
      <c r="F448" t="inlineStr">
        <is>
          <t>HALLANDS LÄN</t>
        </is>
      </c>
      <c r="G448" t="inlineStr">
        <is>
          <t>VARBERG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46311</v>
      </c>
      <c r="E449" s="1" t="n">
        <v>46326</v>
      </c>
      <c r="F449" t="inlineStr">
        <is>
          <t>HALLANDS LÄN</t>
        </is>
      </c>
      <c r="G449" t="inlineStr">
        <is>
          <t>VARBERG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36424-2026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46269</v>
      </c>
      <c r="E450" s="1" t="n">
        <v>46326</v>
      </c>
      <c r="F450" t="inlineStr">
        <is>
          <t>HALLANDS LÄN</t>
        </is>
      </c>
      <c r="G450" t="inlineStr">
        <is>
          <t>VARBERG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36425-2026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46269</v>
      </c>
      <c r="E451" s="1" t="n">
        <v>46326</v>
      </c>
      <c r="F451" t="inlineStr">
        <is>
          <t>HALLANDS LÄN</t>
        </is>
      </c>
      <c r="G451" t="inlineStr">
        <is>
          <t>VARBERG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46315</v>
      </c>
      <c r="E452" s="1" t="n">
        <v>46326</v>
      </c>
      <c r="F452" t="inlineStr">
        <is>
          <t>HALLANDS LÄN</t>
        </is>
      </c>
      <c r="G452" t="inlineStr">
        <is>
          <t>VARBERG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46269</v>
      </c>
      <c r="E453" s="1" t="n">
        <v>46326</v>
      </c>
      <c r="F453" t="inlineStr">
        <is>
          <t>HALLANDS LÄN</t>
        </is>
      </c>
      <c r="G453" t="inlineStr">
        <is>
          <t>VARBERG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36423-2026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46326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46315</v>
      </c>
      <c r="E455" s="1" t="n">
        <v>46326</v>
      </c>
      <c r="F455" t="inlineStr">
        <is>
          <t>HALLANDS LÄN</t>
        </is>
      </c>
      <c r="G455" t="inlineStr">
        <is>
          <t>VARBERG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46317</v>
      </c>
      <c r="E456" s="1" t="n">
        <v>46326</v>
      </c>
      <c r="F456" t="inlineStr">
        <is>
          <t>HALLANDS LÄN</t>
        </is>
      </c>
      <c r="G456" t="inlineStr">
        <is>
          <t>VARBERG</t>
        </is>
      </c>
      <c r="H456" t="inlineStr">
        <is>
          <t>Kyrkan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46326</v>
      </c>
      <c r="F457" t="inlineStr">
        <is>
          <t>HALLANDS LÄN</t>
        </is>
      </c>
      <c r="G457" t="inlineStr">
        <is>
          <t>VARBERG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46326</v>
      </c>
      <c r="F458" t="inlineStr">
        <is>
          <t>HALLANDS LÄN</t>
        </is>
      </c>
      <c r="G458" t="inlineStr">
        <is>
          <t>VARBERG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46317</v>
      </c>
      <c r="E459" s="1" t="n">
        <v>46326</v>
      </c>
      <c r="F459" t="inlineStr">
        <is>
          <t>HALLANDS LÄN</t>
        </is>
      </c>
      <c r="G459" t="inlineStr">
        <is>
          <t>VARBERG</t>
        </is>
      </c>
      <c r="H459" t="inlineStr">
        <is>
          <t>Kyrkan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46326</v>
      </c>
      <c r="F460" t="inlineStr">
        <is>
          <t>HALLANDS LÄN</t>
        </is>
      </c>
      <c r="G460" t="inlineStr">
        <is>
          <t>VARBERG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45884</v>
      </c>
      <c r="E461" s="1" t="n">
        <v>46326</v>
      </c>
      <c r="F461" t="inlineStr">
        <is>
          <t>HALLANDS LÄN</t>
        </is>
      </c>
      <c r="G461" t="inlineStr">
        <is>
          <t>VARBERG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46280</v>
      </c>
      <c r="E462" s="1" t="n">
        <v>46326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44738-2026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46322</v>
      </c>
      <c r="E463" s="1" t="n">
        <v>46326</v>
      </c>
      <c r="F463" t="inlineStr">
        <is>
          <t>HALLANDS LÄN</t>
        </is>
      </c>
      <c r="G463" t="inlineStr">
        <is>
          <t>VARBERG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37872-2026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46279</v>
      </c>
      <c r="E464" s="1" t="n">
        <v>46326</v>
      </c>
      <c r="F464" t="inlineStr">
        <is>
          <t>HALLANDS LÄN</t>
        </is>
      </c>
      <c r="G464" t="inlineStr">
        <is>
          <t>VARBERG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44742-2026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46322</v>
      </c>
      <c r="E465" s="1" t="n">
        <v>46326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45029-2026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46324</v>
      </c>
      <c r="E466" s="1" t="n">
        <v>46326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46281</v>
      </c>
      <c r="E467" s="1" t="n">
        <v>46326</v>
      </c>
      <c r="F467" t="inlineStr">
        <is>
          <t>HALLANDS LÄN</t>
        </is>
      </c>
      <c r="G467" t="inlineStr">
        <is>
          <t>VARBERG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46324</v>
      </c>
      <c r="E468" s="1" t="n">
        <v>46326</v>
      </c>
      <c r="F468" t="inlineStr">
        <is>
          <t>HALLANDS LÄN</t>
        </is>
      </c>
      <c r="G468" t="inlineStr">
        <is>
          <t>VARBERG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46324</v>
      </c>
      <c r="E469" s="1" t="n">
        <v>46326</v>
      </c>
      <c r="F469" t="inlineStr">
        <is>
          <t>HALLANDS LÄN</t>
        </is>
      </c>
      <c r="G469" t="inlineStr">
        <is>
          <t>VARBERG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46324</v>
      </c>
      <c r="E470" s="1" t="n">
        <v>46326</v>
      </c>
      <c r="F470" t="inlineStr">
        <is>
          <t>HALLANDS LÄN</t>
        </is>
      </c>
      <c r="G470" t="inlineStr">
        <is>
          <t>VARBERG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38099-2026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46326</v>
      </c>
      <c r="F471" t="inlineStr">
        <is>
          <t>HALLANDS LÄN</t>
        </is>
      </c>
      <c r="G471" t="inlineStr">
        <is>
          <t>VARBERG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6247-2022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44868</v>
      </c>
      <c r="E472" s="1" t="n">
        <v>46326</v>
      </c>
      <c r="F472" t="inlineStr">
        <is>
          <t>HALLANDS LÄN</t>
        </is>
      </c>
      <c r="G472" t="inlineStr">
        <is>
          <t>VARBERG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6873-2022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44895</v>
      </c>
      <c r="E473" s="1" t="n">
        <v>46326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81-2024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46326</v>
      </c>
      <c r="F474" t="inlineStr">
        <is>
          <t>HALLANDS LÄN</t>
        </is>
      </c>
      <c r="G474" t="inlineStr">
        <is>
          <t>VARBERG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9190-2021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44522</v>
      </c>
      <c r="E475" s="1" t="n">
        <v>46326</v>
      </c>
      <c r="F475" t="inlineStr">
        <is>
          <t>HALLANDS LÄN</t>
        </is>
      </c>
      <c r="G475" t="inlineStr">
        <is>
          <t>VARBERG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82-2024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45300</v>
      </c>
      <c r="E476" s="1" t="n">
        <v>46326</v>
      </c>
      <c r="F476" t="inlineStr">
        <is>
          <t>HALLANDS LÄN</t>
        </is>
      </c>
      <c r="G476" t="inlineStr">
        <is>
          <t>VARBERG</t>
        </is>
      </c>
      <c r="I476" t="n">
        <v>9.6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1525-2024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45425</v>
      </c>
      <c r="E477" s="1" t="n">
        <v>46326</v>
      </c>
      <c r="F477" t="inlineStr">
        <is>
          <t>HALLANDS LÄN</t>
        </is>
      </c>
      <c r="G477" t="inlineStr">
        <is>
          <t>VARBERG</t>
        </is>
      </c>
      <c r="I477" t="n">
        <v>21.5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1601-2024</t>
        </is>
      </c>
      <c r="B478" t="inlineStr">
        <is>
          <t>samrådsanmälan</t>
        </is>
      </c>
      <c r="C478" t="inlineStr">
        <is>
          <t>Skogsbilväg</t>
        </is>
      </c>
      <c r="D478" s="1" t="n">
        <v>45428</v>
      </c>
      <c r="E478" s="1" t="n">
        <v>46326</v>
      </c>
      <c r="F478" t="inlineStr">
        <is>
          <t>HALLANDS LÄN</t>
        </is>
      </c>
      <c r="G478" t="inlineStr">
        <is>
          <t>VARBERG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6863-2022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44895</v>
      </c>
      <c r="E479" s="1" t="n">
        <v>46326</v>
      </c>
      <c r="F479" t="inlineStr">
        <is>
          <t>HALLANDS LÄN</t>
        </is>
      </c>
      <c r="G479" t="inlineStr">
        <is>
          <t>VARBERG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3713-2024</t>
        </is>
      </c>
      <c r="B480" t="inlineStr">
        <is>
          <t>samrådsanmälan</t>
        </is>
      </c>
      <c r="C480" t="inlineStr">
        <is>
          <t>Dikesrensning</t>
        </is>
      </c>
      <c r="D480" s="1" t="n">
        <v>45554</v>
      </c>
      <c r="E480" s="1" t="n">
        <v>46326</v>
      </c>
      <c r="F480" t="inlineStr">
        <is>
          <t>HALLANDS LÄN</t>
        </is>
      </c>
      <c r="G480" t="inlineStr">
        <is>
          <t>VARBERG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630-2024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45355</v>
      </c>
      <c r="E481" s="1" t="n">
        <v>46326</v>
      </c>
      <c r="F481" t="inlineStr">
        <is>
          <t>HALLANDS LÄN</t>
        </is>
      </c>
      <c r="G481" t="inlineStr">
        <is>
          <t>VARBERG</t>
        </is>
      </c>
      <c r="I481" t="n">
        <v>20.4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75-2024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45300</v>
      </c>
      <c r="E482" s="1" t="n">
        <v>46326</v>
      </c>
      <c r="F482" t="inlineStr">
        <is>
          <t>HALLANDS LÄN</t>
        </is>
      </c>
      <c r="G482" t="inlineStr">
        <is>
          <t>VARBERG</t>
        </is>
      </c>
      <c r="I482" t="n">
        <v>28.2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2133-2025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45847</v>
      </c>
      <c r="E483" s="1" t="n">
        <v>46326</v>
      </c>
      <c r="F483" t="inlineStr">
        <is>
          <t>HALLANDS LÄN</t>
        </is>
      </c>
      <c r="G483" t="inlineStr">
        <is>
          <t>VARBERG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139-2026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46042</v>
      </c>
      <c r="E484" s="1" t="n">
        <v>46326</v>
      </c>
      <c r="F484" t="inlineStr">
        <is>
          <t>HALLANDS LÄN</t>
        </is>
      </c>
      <c r="G484" t="inlineStr">
        <is>
          <t>VARBERG</t>
        </is>
      </c>
      <c r="I484" t="n">
        <v>38.9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140-2026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46042</v>
      </c>
      <c r="E485" s="1" t="n">
        <v>46326</v>
      </c>
      <c r="F485" t="inlineStr">
        <is>
          <t>HALLANDS LÄN</t>
        </is>
      </c>
      <c r="G485" t="inlineStr">
        <is>
          <t>VARBERG</t>
        </is>
      </c>
      <c r="I485" t="n">
        <v>23.1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141-2026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46042</v>
      </c>
      <c r="E486" s="1" t="n">
        <v>46326</v>
      </c>
      <c r="F486" t="inlineStr">
        <is>
          <t>HALLANDS LÄN</t>
        </is>
      </c>
      <c r="G486" t="inlineStr">
        <is>
          <t>VARBERG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1400-2026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46154</v>
      </c>
      <c r="E487" s="1" t="n">
        <v>46326</v>
      </c>
      <c r="F487" t="inlineStr">
        <is>
          <t>HALLANDS LÄN</t>
        </is>
      </c>
      <c r="G487" t="inlineStr">
        <is>
          <t>VARBERG</t>
        </is>
      </c>
      <c r="I487" t="n">
        <v>15.4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1402-2026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46154</v>
      </c>
      <c r="E488" s="1" t="n">
        <v>46326</v>
      </c>
      <c r="F488" t="inlineStr">
        <is>
          <t>HALLANDS LÄN</t>
        </is>
      </c>
      <c r="G488" t="inlineStr">
        <is>
          <t>VARBERG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2273-2026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46264</v>
      </c>
      <c r="E489" s="1" t="n">
        <v>46326</v>
      </c>
      <c r="F489" t="inlineStr">
        <is>
          <t>HALLANDS LÄN</t>
        </is>
      </c>
      <c r="G489" t="inlineStr">
        <is>
          <t>VARBERG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2026-10-31T03:28:27Z</dcterms:created>
  <dcterms:modified xmlns:dcterms="http://purl.org/dc/terms/" xmlns:xsi="http://www.w3.org/2001/XMLSchema-instance" xsi:type="dcterms:W3CDTF">2026-10-31T03:28:27Z</dcterms:modified>
</cp:coreProperties>
</file>